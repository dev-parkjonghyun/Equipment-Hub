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내보내기 요약" sheetId="1" state="visible" r:id="rId1"/>
    <sheet xmlns:r="http://schemas.openxmlformats.org/officeDocument/2006/relationships" name="장비 마스터" sheetId="2" state="visible" r:id="rId2"/>
    <sheet xmlns:r="http://schemas.openxmlformats.org/officeDocument/2006/relationships" name="장비 스펙(3D)" sheetId="3" state="visible" r:id="rId3"/>
    <sheet xmlns:r="http://schemas.openxmlformats.org/officeDocument/2006/relationships" name="카테고리 코드표" sheetId="4" state="visible" r:id="rId4"/>
    <sheet xmlns:r="http://schemas.openxmlformats.org/officeDocument/2006/relationships" name="점검 이력" sheetId="5" state="visible" r:id="rId5"/>
    <sheet xmlns:r="http://schemas.openxmlformats.org/officeDocument/2006/relationships" name="사용 안내" sheetId="6" state="visible" r:id="rId6"/>
  </sheets>
  <definedNames>
    <definedName name="_xlnm._FilterDatabase" localSheetId="2" hidden="1">'장비 스펙(3D)'!$A$1:$M$112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#,##0;\-#,##0;\-"/>
  </numFmts>
  <fonts count="26">
    <font>
      <name val="Calibri"/>
      <charset val="1"/>
      <family val="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sz val="12"/>
    </font>
    <font>
      <name val="Calibri"/>
      <charset val="1"/>
      <family val="0"/>
      <sz val="12"/>
    </font>
    <font>
      <name val="Calibri"/>
      <charset val="1"/>
      <family val="0"/>
      <sz val="14"/>
    </font>
    <font>
      <name val="Noto Sans CJK SC"/>
      <family val="2"/>
      <sz val="14"/>
    </font>
    <font>
      <name val="Noto Sans CJK SC"/>
      <family val="2"/>
      <color rgb="FF0000FF"/>
      <sz val="12"/>
      <u val="single"/>
    </font>
    <font>
      <name val="Noto Sans CJK SC"/>
      <charset val="1"/>
      <family val="0"/>
      <b val="1"/>
      <sz val="11"/>
    </font>
    <font>
      <name val="Arial"/>
      <charset val="1"/>
      <family val="0"/>
      <b val="1"/>
      <sz val="11"/>
    </font>
    <font>
      <name val="Noto Sans CJK SC"/>
      <family val="2"/>
      <b val="1"/>
      <sz val="11"/>
    </font>
    <font>
      <name val="Arial"/>
      <charset val="1"/>
      <family val="0"/>
      <sz val="10"/>
    </font>
    <font>
      <name val="Noto Sans CJK SC"/>
      <charset val="1"/>
      <family val="0"/>
      <sz val="10"/>
    </font>
    <font>
      <name val="Noto Sans CJK SC"/>
      <family val="2"/>
      <sz val="10"/>
    </font>
    <font>
      <name val="Noto Sans CJK SC"/>
      <family val="2"/>
      <sz val="11"/>
    </font>
    <font>
      <name val="Noto Sans CJK SC"/>
      <charset val="1"/>
      <family val="0"/>
      <sz val="11"/>
    </font>
    <font>
      <name val="Arial"/>
      <charset val="1"/>
      <family val="0"/>
      <b val="1"/>
      <color rgb="FF1F4E78"/>
      <sz val="10"/>
    </font>
    <font>
      <name val="Noto Sans CJK SC"/>
      <charset val="1"/>
      <family val="0"/>
      <sz val="14"/>
    </font>
    <font>
      <name val="Arial"/>
      <charset val="1"/>
      <family val="0"/>
      <sz val="11"/>
    </font>
    <font>
      <name val="Noto Sans CJK SC"/>
      <charset val="1"/>
      <family val="0"/>
      <sz val="12"/>
    </font>
    <font>
      <name val="Arial"/>
      <charset val="1"/>
      <family val="0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8"/>
      <sz val="10"/>
    </font>
    <font>
      <name val="Arial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001F4E78"/>
      </patternFill>
    </fill>
    <fill>
      <patternFill patternType="solid">
        <fgColor rgb="00E4F0D8"/>
      </patternFill>
    </fill>
    <fill>
      <patternFill patternType="solid">
        <fgColor rgb="00FFF6D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bottom" wrapText="1"/>
    </xf>
    <xf numFmtId="0" fontId="6" fillId="0" borderId="0" applyAlignment="1" pivotButton="0" quotePrefix="0" xfId="0">
      <alignment horizontal="left" vertical="bottom"/>
    </xf>
    <xf numFmtId="0" fontId="4" fillId="2" borderId="0" applyAlignment="1" pivotButton="0" quotePrefix="0" xfId="0">
      <alignment horizontal="left" vertical="bottom"/>
    </xf>
    <xf numFmtId="0" fontId="8" fillId="2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49" fontId="9" fillId="2" borderId="1" applyAlignment="1" pivotButton="0" quotePrefix="0" xfId="0">
      <alignment horizontal="center" vertical="center" wrapText="1"/>
    </xf>
    <xf numFmtId="49" fontId="10" fillId="2" borderId="1" applyAlignment="1" pivotButton="0" quotePrefix="0" xfId="0">
      <alignment horizontal="center" vertical="center" wrapText="1"/>
    </xf>
    <xf numFmtId="49" fontId="12" fillId="2" borderId="1" applyAlignment="1" pivotButton="0" quotePrefix="0" xfId="0">
      <alignment horizontal="general" vertical="center" wrapText="1"/>
    </xf>
    <xf numFmtId="1" fontId="12" fillId="2" borderId="1" applyAlignment="1" pivotButton="0" quotePrefix="0" xfId="0">
      <alignment horizontal="general" vertical="center" wrapText="1"/>
    </xf>
    <xf numFmtId="1" fontId="0" fillId="2" borderId="1" applyAlignment="1" pivotButton="0" quotePrefix="0" xfId="0">
      <alignment horizontal="general" vertical="bottom"/>
    </xf>
    <xf numFmtId="49" fontId="13" fillId="2" borderId="1" applyAlignment="1" pivotButton="0" quotePrefix="0" xfId="0">
      <alignment horizontal="general" vertical="center" wrapText="1"/>
    </xf>
    <xf numFmtId="164" fontId="12" fillId="2" borderId="1" applyAlignment="1" pivotButton="0" quotePrefix="0" xfId="0">
      <alignment horizontal="general" vertical="center" wrapText="1"/>
    </xf>
    <xf numFmtId="165" fontId="12" fillId="2" borderId="1" applyAlignment="1" pivotButton="0" quotePrefix="0" xfId="0">
      <alignment horizontal="general" vertical="center" wrapText="1"/>
    </xf>
    <xf numFmtId="0" fontId="0" fillId="2" borderId="1" applyAlignment="1" pivotButton="0" quotePrefix="0" xfId="0">
      <alignment horizontal="general" vertical="bottom"/>
    </xf>
    <xf numFmtId="0" fontId="12" fillId="2" borderId="1" applyAlignment="1" pivotButton="0" quotePrefix="0" xfId="0">
      <alignment horizontal="general" vertical="center" wrapText="1"/>
    </xf>
    <xf numFmtId="49" fontId="14" fillId="2" borderId="1" applyAlignment="1" pivotButton="0" quotePrefix="0" xfId="0">
      <alignment horizontal="general" vertical="center" wrapText="1"/>
    </xf>
    <xf numFmtId="1" fontId="14" fillId="2" borderId="1" applyAlignment="1" pivotButton="0" quotePrefix="0" xfId="0">
      <alignment horizontal="general" vertical="center" wrapText="1"/>
    </xf>
    <xf numFmtId="0" fontId="13" fillId="2" borderId="1" applyAlignment="1" pivotButton="0" quotePrefix="0" xfId="0">
      <alignment horizontal="general" vertical="center" wrapText="1"/>
    </xf>
    <xf numFmtId="0" fontId="14" fillId="2" borderId="1" applyAlignment="1" pivotButton="0" quotePrefix="0" xfId="0">
      <alignment horizontal="general" vertical="center" wrapText="1"/>
    </xf>
    <xf numFmtId="49" fontId="15" fillId="2" borderId="1" applyAlignment="1" pivotButton="0" quotePrefix="0" xfId="0">
      <alignment horizontal="general" vertical="bottom"/>
    </xf>
    <xf numFmtId="49" fontId="0" fillId="2" borderId="1" applyAlignment="1" pivotButton="0" quotePrefix="0" xfId="0">
      <alignment horizontal="general" vertical="bottom"/>
    </xf>
    <xf numFmtId="49" fontId="1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0" fontId="17" fillId="0" borderId="2" applyAlignment="1" pivotButton="0" quotePrefix="0" xfId="0">
      <alignment horizontal="general" vertical="center" wrapText="1"/>
    </xf>
    <xf numFmtId="0" fontId="14" fillId="0" borderId="2" applyAlignment="1" pivotButton="0" quotePrefix="0" xfId="0">
      <alignment horizontal="general" vertical="center" wrapText="1"/>
    </xf>
    <xf numFmtId="164" fontId="0" fillId="2" borderId="1" applyAlignment="1" pivotButton="0" quotePrefix="0" xfId="0">
      <alignment horizontal="general" vertical="bottom"/>
    </xf>
    <xf numFmtId="165" fontId="0" fillId="2" borderId="1" applyAlignment="1" pivotButton="0" quotePrefix="0" xfId="0">
      <alignment horizontal="general" vertical="bottom"/>
    </xf>
    <xf numFmtId="49" fontId="18" fillId="2" borderId="1" applyAlignment="1" pivotButton="0" quotePrefix="0" xfId="0">
      <alignment horizontal="general" vertical="center" wrapText="1"/>
    </xf>
    <xf numFmtId="1" fontId="19" fillId="2" borderId="1" applyAlignment="1" pivotButton="0" quotePrefix="0" xfId="0">
      <alignment horizontal="general" vertical="center" wrapText="1"/>
    </xf>
    <xf numFmtId="49" fontId="20" fillId="2" borderId="1" applyAlignment="1" pivotButton="0" quotePrefix="0" xfId="0">
      <alignment horizontal="general" vertical="center" wrapText="1"/>
    </xf>
    <xf numFmtId="49" fontId="19" fillId="2" borderId="1" applyAlignment="1" pivotButton="0" quotePrefix="0" xfId="0">
      <alignment horizontal="general" vertical="center" wrapText="1"/>
    </xf>
    <xf numFmtId="49" fontId="16" fillId="2" borderId="1" applyAlignment="1" pivotButton="0" quotePrefix="0" xfId="0">
      <alignment horizontal="general" vertical="center" wrapText="1"/>
    </xf>
    <xf numFmtId="49" fontId="21" fillId="2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bottom" wrapText="1"/>
    </xf>
    <xf numFmtId="0" fontId="6" fillId="0" borderId="0" applyAlignment="1" pivotButton="0" quotePrefix="0" xfId="0">
      <alignment horizontal="left" vertical="bottom"/>
    </xf>
    <xf numFmtId="0" fontId="4" fillId="2" borderId="0" applyAlignment="1" pivotButton="0" quotePrefix="0" xfId="0">
      <alignment horizontal="left" vertical="bottom"/>
    </xf>
    <xf numFmtId="0" fontId="8" fillId="2" borderId="0" applyAlignment="1" pivotButton="0" quotePrefix="0" xfId="0">
      <alignment horizontal="left" vertical="bottom"/>
    </xf>
    <xf numFmtId="49" fontId="9" fillId="2" borderId="1" applyAlignment="1" pivotButton="0" quotePrefix="0" xfId="0">
      <alignment horizontal="center" vertical="center" wrapText="1"/>
    </xf>
    <xf numFmtId="49" fontId="10" fillId="2" borderId="1" applyAlignment="1" pivotButton="0" quotePrefix="0" xfId="0">
      <alignment horizontal="center" vertical="center" wrapText="1"/>
    </xf>
    <xf numFmtId="49" fontId="12" fillId="2" borderId="1" applyAlignment="1" pivotButton="0" quotePrefix="0" xfId="0">
      <alignment horizontal="general" vertical="center" wrapText="1"/>
    </xf>
    <xf numFmtId="1" fontId="12" fillId="2" borderId="1" applyAlignment="1" pivotButton="0" quotePrefix="0" xfId="0">
      <alignment horizontal="general" vertical="center" wrapText="1"/>
    </xf>
    <xf numFmtId="1" fontId="0" fillId="2" borderId="1" applyAlignment="1" pivotButton="0" quotePrefix="0" xfId="0">
      <alignment horizontal="general" vertical="bottom"/>
    </xf>
    <xf numFmtId="49" fontId="13" fillId="2" borderId="1" applyAlignment="1" pivotButton="0" quotePrefix="0" xfId="0">
      <alignment horizontal="general" vertical="center" wrapText="1"/>
    </xf>
    <xf numFmtId="164" fontId="12" fillId="2" borderId="1" applyAlignment="1" pivotButton="0" quotePrefix="0" xfId="0">
      <alignment horizontal="general" vertical="center" wrapText="1"/>
    </xf>
    <xf numFmtId="165" fontId="12" fillId="2" borderId="1" applyAlignment="1" pivotButton="0" quotePrefix="0" xfId="0">
      <alignment horizontal="general" vertical="center" wrapText="1"/>
    </xf>
    <xf numFmtId="0" fontId="0" fillId="2" borderId="1" applyAlignment="1" pivotButton="0" quotePrefix="0" xfId="0">
      <alignment horizontal="general" vertical="bottom"/>
    </xf>
    <xf numFmtId="0" fontId="12" fillId="2" borderId="1" applyAlignment="1" pivotButton="0" quotePrefix="0" xfId="0">
      <alignment horizontal="general" vertical="center" wrapText="1"/>
    </xf>
    <xf numFmtId="49" fontId="14" fillId="2" borderId="1" applyAlignment="1" pivotButton="0" quotePrefix="0" xfId="0">
      <alignment horizontal="general" vertical="center" wrapText="1"/>
    </xf>
    <xf numFmtId="1" fontId="14" fillId="2" borderId="1" applyAlignment="1" pivotButton="0" quotePrefix="0" xfId="0">
      <alignment horizontal="general" vertical="center" wrapText="1"/>
    </xf>
    <xf numFmtId="0" fontId="13" fillId="2" borderId="1" applyAlignment="1" pivotButton="0" quotePrefix="0" xfId="0">
      <alignment horizontal="general" vertical="center" wrapText="1"/>
    </xf>
    <xf numFmtId="0" fontId="14" fillId="2" borderId="1" applyAlignment="1" pivotButton="0" quotePrefix="0" xfId="0">
      <alignment horizontal="general" vertical="center" wrapText="1"/>
    </xf>
    <xf numFmtId="49" fontId="15" fillId="2" borderId="1" applyAlignment="1" pivotButton="0" quotePrefix="0" xfId="0">
      <alignment horizontal="general" vertical="bottom"/>
    </xf>
    <xf numFmtId="49" fontId="0" fillId="2" borderId="1" applyAlignment="1" pivotButton="0" quotePrefix="0" xfId="0">
      <alignment horizontal="general" vertical="bottom"/>
    </xf>
    <xf numFmtId="0" fontId="22" fillId="3" borderId="3" applyAlignment="1" pivotButton="0" quotePrefix="0" xfId="0">
      <alignment horizontal="center" vertical="center" wrapText="1"/>
    </xf>
    <xf numFmtId="0" fontId="23" fillId="4" borderId="3" applyAlignment="1" pivotButton="0" quotePrefix="0" xfId="0">
      <alignment vertical="center" wrapText="1"/>
    </xf>
    <xf numFmtId="2" fontId="23" fillId="4" borderId="3" applyAlignment="1" pivotButton="0" quotePrefix="0" xfId="0">
      <alignment vertical="center" wrapText="1"/>
    </xf>
    <xf numFmtId="0" fontId="23" fillId="0" borderId="3" applyAlignment="1" pivotButton="0" quotePrefix="0" xfId="0">
      <alignment vertical="center" wrapText="1"/>
    </xf>
    <xf numFmtId="2" fontId="23" fillId="0" borderId="3" applyAlignment="1" pivotButton="0" quotePrefix="0" xfId="0">
      <alignment vertical="center" wrapText="1"/>
    </xf>
    <xf numFmtId="0" fontId="23" fillId="5" borderId="3" applyAlignment="1" pivotButton="0" quotePrefix="0" xfId="0">
      <alignment vertical="center" wrapText="1"/>
    </xf>
    <xf numFmtId="2" fontId="23" fillId="5" borderId="3" applyAlignment="1" pivotButton="0" quotePrefix="0" xfId="0">
      <alignment vertical="center" wrapText="1"/>
    </xf>
    <xf numFmtId="0" fontId="24" fillId="0" borderId="0" pivotButton="0" quotePrefix="0" xfId="0"/>
    <xf numFmtId="0" fontId="25" fillId="0" borderId="0" pivotButton="0" quotePrefix="0" xfId="0"/>
    <xf numFmtId="49" fontId="1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0" fontId="17" fillId="0" borderId="2" applyAlignment="1" pivotButton="0" quotePrefix="0" xfId="0">
      <alignment horizontal="general" vertical="center" wrapText="1"/>
    </xf>
    <xf numFmtId="0" fontId="14" fillId="0" borderId="2" applyAlignment="1" pivotButton="0" quotePrefix="0" xfId="0">
      <alignment horizontal="general" vertical="center" wrapText="1"/>
    </xf>
    <xf numFmtId="164" fontId="0" fillId="2" borderId="1" applyAlignment="1" pivotButton="0" quotePrefix="0" xfId="0">
      <alignment horizontal="general" vertical="bottom"/>
    </xf>
    <xf numFmtId="165" fontId="0" fillId="2" borderId="1" applyAlignment="1" pivotButton="0" quotePrefix="0" xfId="0">
      <alignment horizontal="general" vertical="bottom"/>
    </xf>
    <xf numFmtId="49" fontId="18" fillId="2" borderId="1" applyAlignment="1" pivotButton="0" quotePrefix="0" xfId="0">
      <alignment horizontal="general" vertical="center" wrapText="1"/>
    </xf>
    <xf numFmtId="1" fontId="19" fillId="2" borderId="1" applyAlignment="1" pivotButton="0" quotePrefix="0" xfId="0">
      <alignment horizontal="general" vertical="center" wrapText="1"/>
    </xf>
    <xf numFmtId="49" fontId="20" fillId="2" borderId="1" applyAlignment="1" pivotButton="0" quotePrefix="0" xfId="0">
      <alignment horizontal="general" vertical="center" wrapText="1"/>
    </xf>
    <xf numFmtId="49" fontId="19" fillId="2" borderId="1" applyAlignment="1" pivotButton="0" quotePrefix="0" xfId="0">
      <alignment horizontal="general" vertical="center" wrapText="1"/>
    </xf>
    <xf numFmtId="49" fontId="16" fillId="2" borderId="1" applyAlignment="1" pivotButton="0" quotePrefix="0" xfId="0">
      <alignment horizontal="general" vertical="center" wrapText="1"/>
    </xf>
    <xf numFmtId="49" fontId="21" fillId="2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3:D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00390625" defaultRowHeight="12.75" customHeight="1" zeroHeight="0" outlineLevelRow="0"/>
  <cols>
    <col width="2" customWidth="1" style="34" min="1" max="1"/>
    <col width="30.56" customWidth="1" style="34" min="2" max="4"/>
  </cols>
  <sheetData>
    <row r="3" ht="49.5" customHeight="1" s="35">
      <c r="B3" s="36" t="inlineStr">
        <is>
          <t>이 문서는 Numbers에서 내보낸 문서입니다. 각 표가 Excel 워크시트로 변환되었습니다. 각 Numbers 시트에 있는 모든 다른 대상체는 개별 워크시트에 위치 지정되었습니다. Excel에서 공식 계산이 다를 수 있으니 유의하십시오.</t>
        </is>
      </c>
    </row>
    <row r="7" ht="21.6" customHeight="1" s="35">
      <c r="B7" s="37" t="inlineStr">
        <is>
          <t>Numbers 시트 이름</t>
        </is>
      </c>
      <c r="C7" s="37" t="inlineStr">
        <is>
          <t>Numbers 표 이름</t>
        </is>
      </c>
      <c r="D7" s="37" t="inlineStr">
        <is>
          <t>Excel 워크시트 이름</t>
        </is>
      </c>
    </row>
    <row r="9" ht="15" customHeight="1" s="35">
      <c r="B9" s="38" t="inlineStr">
        <is>
          <t>장비 마스터</t>
        </is>
      </c>
      <c r="C9" s="38" t="n"/>
      <c r="D9" s="38" t="n"/>
    </row>
    <row r="10" ht="19.4" customHeight="1" s="35">
      <c r="B10" s="38" t="n"/>
      <c r="C10" s="38" t="inlineStr">
        <is>
          <t>표 1</t>
        </is>
      </c>
      <c r="D10" s="39" t="inlineStr">
        <is>
          <t>장비 마스터</t>
        </is>
      </c>
    </row>
    <row r="11" ht="15" customHeight="1" s="35">
      <c r="B11" s="38" t="inlineStr">
        <is>
          <t>카테고리 코드표</t>
        </is>
      </c>
      <c r="C11" s="38" t="n"/>
      <c r="D11" s="38" t="n"/>
    </row>
    <row r="12" ht="19.4" customHeight="1" s="35">
      <c r="B12" s="38" t="n"/>
      <c r="C12" s="38" t="inlineStr">
        <is>
          <t>표 1</t>
        </is>
      </c>
      <c r="D12" s="39" t="inlineStr">
        <is>
          <t>카테고리 코드표</t>
        </is>
      </c>
    </row>
    <row r="13" ht="15" customHeight="1" s="35">
      <c r="B13" s="38" t="inlineStr">
        <is>
          <t>점검 이력</t>
        </is>
      </c>
      <c r="C13" s="38" t="n"/>
      <c r="D13" s="38" t="n"/>
    </row>
    <row r="14" ht="19.4" customHeight="1" s="35">
      <c r="B14" s="38" t="n"/>
      <c r="C14" s="38" t="inlineStr">
        <is>
          <t>표 1</t>
        </is>
      </c>
      <c r="D14" s="39" t="inlineStr">
        <is>
          <t>점검 이력</t>
        </is>
      </c>
    </row>
    <row r="15" ht="15" customHeight="1" s="35">
      <c r="B15" s="38" t="inlineStr">
        <is>
          <t>사용 안내</t>
        </is>
      </c>
      <c r="C15" s="38" t="n"/>
      <c r="D15" s="38" t="n"/>
    </row>
    <row r="16" ht="19.4" customHeight="1" s="35">
      <c r="B16" s="38" t="n"/>
      <c r="C16" s="38" t="inlineStr">
        <is>
          <t>표 1</t>
        </is>
      </c>
      <c r="D16" s="39" t="inlineStr">
        <is>
          <t>사용 안내</t>
        </is>
      </c>
    </row>
  </sheetData>
  <mergeCells count="1">
    <mergeCell ref="B3:D3"/>
  </mergeCells>
  <hyperlinks>
    <hyperlink ref="D10" location="'장비 마스터'!R1C1" display="장비 마스터"/>
    <hyperlink ref="D12" location="'카테고리 코드표'!R1C1" display="카테고리 코드표"/>
    <hyperlink ref="D14" location="'점검 이력'!R1C1" display="점검 이력"/>
    <hyperlink ref="D16" location="'사용 안내'!R1C1" display="사용 안내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T1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34" min="1" max="1"/>
    <col width="14" customWidth="1" style="34" min="2" max="2"/>
    <col width="18.21" customWidth="1" style="34" min="3" max="3"/>
    <col width="12" customWidth="1" style="34" min="4" max="4"/>
    <col width="16.5" customWidth="1" style="34" min="5" max="5"/>
    <col width="14" customWidth="1" style="34" min="6" max="6"/>
    <col width="28" customWidth="1" style="34" min="7" max="7"/>
    <col width="15.51" customWidth="1" style="34" min="8" max="8"/>
    <col width="18" customWidth="1" style="34" min="9" max="10"/>
    <col width="12" customWidth="1" style="34" min="11" max="11"/>
    <col width="16" customWidth="1" style="34" min="12" max="12"/>
    <col width="12" customWidth="1" style="34" min="13" max="13"/>
    <col width="18" customWidth="1" style="34" min="14" max="14"/>
    <col width="14" customWidth="1" style="34" min="15" max="16"/>
    <col width="12" customWidth="1" style="34" min="17" max="17"/>
    <col width="14" customWidth="1" style="34" min="18" max="18"/>
    <col width="30" customWidth="1" style="34" min="19" max="19"/>
    <col width="28" customWidth="1" style="34" min="20" max="20"/>
    <col width="8.68" customWidth="1" style="34" min="21" max="16384"/>
  </cols>
  <sheetData>
    <row r="1" ht="30" customHeight="1" s="35">
      <c r="A1" s="40" t="inlineStr">
        <is>
          <t>자산번호</t>
        </is>
      </c>
      <c r="B1" s="40" t="inlineStr">
        <is>
          <t>별칭</t>
        </is>
      </c>
      <c r="C1" s="40" t="inlineStr">
        <is>
          <t>이미지 URL</t>
        </is>
      </c>
      <c r="D1" s="40" t="inlineStr">
        <is>
          <t>미리보기</t>
        </is>
      </c>
      <c r="E1" s="40" t="inlineStr">
        <is>
          <t>카테고리</t>
        </is>
      </c>
      <c r="F1" s="40" t="inlineStr">
        <is>
          <t>세부분류</t>
        </is>
      </c>
      <c r="G1" s="40" t="inlineStr">
        <is>
          <t>제품명</t>
        </is>
      </c>
      <c r="H1" s="40" t="inlineStr">
        <is>
          <t>브랜드</t>
        </is>
      </c>
      <c r="I1" s="40" t="inlineStr">
        <is>
          <t>모델명</t>
        </is>
      </c>
      <c r="J1" s="40" t="inlineStr">
        <is>
          <t>시리얼번호</t>
        </is>
      </c>
      <c r="K1" s="40" t="inlineStr">
        <is>
          <t>상태</t>
        </is>
      </c>
      <c r="L1" s="40" t="inlineStr">
        <is>
          <t>보관위치</t>
        </is>
      </c>
      <c r="M1" s="40" t="inlineStr">
        <is>
          <t>구매일</t>
        </is>
      </c>
      <c r="N1" s="40" t="inlineStr">
        <is>
          <t>구매처</t>
        </is>
      </c>
      <c r="O1" s="40" t="inlineStr">
        <is>
          <t>구매가격(원)</t>
        </is>
      </c>
      <c r="P1" s="40" t="inlineStr">
        <is>
          <t>마지막 점검일</t>
        </is>
      </c>
      <c r="Q1" s="40" t="inlineStr">
        <is>
          <t>점검주기(개월)</t>
        </is>
      </c>
      <c r="R1" s="40" t="inlineStr">
        <is>
          <t>다음 점검일</t>
        </is>
      </c>
      <c r="S1" s="41" t="inlineStr">
        <is>
          <t>QR 라벨 URL</t>
        </is>
      </c>
      <c r="T1" s="40" t="inlineStr">
        <is>
          <t>비고</t>
        </is>
      </c>
    </row>
    <row r="2" ht="15" customHeight="1" s="35">
      <c r="A2" s="42" t="inlineStr">
        <is>
          <t>CAM-001</t>
        </is>
      </c>
      <c r="B2" s="43" t="n"/>
      <c r="C2" s="43" t="n"/>
      <c r="D2" s="44" t="n"/>
      <c r="E2" s="45" t="inlineStr">
        <is>
          <t>카메라 본체(CAM)</t>
        </is>
      </c>
      <c r="F2" s="45" t="inlineStr">
        <is>
          <t>시네마라인 카메라</t>
        </is>
      </c>
      <c r="G2" s="42" t="inlineStr">
        <is>
          <t>Sony Fx3</t>
        </is>
      </c>
      <c r="H2" s="42" t="inlineStr">
        <is>
          <t>Sony</t>
        </is>
      </c>
      <c r="I2" s="42" t="inlineStr">
        <is>
          <t>Fx3</t>
        </is>
      </c>
      <c r="J2" s="43" t="n"/>
      <c r="K2" s="45" t="inlineStr">
        <is>
          <t>정상</t>
        </is>
      </c>
      <c r="L2" s="43" t="n"/>
      <c r="M2" s="46" t="n"/>
      <c r="N2" s="43" t="n"/>
      <c r="O2" s="47" t="n"/>
      <c r="P2" s="46" t="n"/>
      <c r="Q2" s="43" t="n"/>
      <c r="R2" s="48">
        <f t="array" ref="R2:R2">IF(AND(ISNUMBER(P2),ISNUMBER(Q2)),EDATE((TRUE()+(0*7+IF(P2&gt;60,P2-1,P2))),Q2),"")</f>
        <v/>
      </c>
      <c r="S2" s="43" t="n"/>
      <c r="T2" s="43" t="n"/>
    </row>
    <row r="3" ht="15" customHeight="1" s="35">
      <c r="A3" s="42" t="inlineStr">
        <is>
          <t>CAM-002</t>
        </is>
      </c>
      <c r="B3" s="43" t="n"/>
      <c r="C3" s="43" t="n"/>
      <c r="D3" s="44" t="n"/>
      <c r="E3" s="45" t="inlineStr">
        <is>
          <t>카메라 본체(CAM)</t>
        </is>
      </c>
      <c r="F3" s="45" t="inlineStr">
        <is>
          <t>시네마라인 카메라</t>
        </is>
      </c>
      <c r="G3" s="42" t="inlineStr">
        <is>
          <t>Sony Fx6</t>
        </is>
      </c>
      <c r="H3" s="42" t="inlineStr">
        <is>
          <t>Sony</t>
        </is>
      </c>
      <c r="I3" s="42" t="inlineStr">
        <is>
          <t>Fx6</t>
        </is>
      </c>
      <c r="J3" s="43" t="n"/>
      <c r="K3" s="45" t="inlineStr">
        <is>
          <t>정상</t>
        </is>
      </c>
      <c r="L3" s="43" t="n"/>
      <c r="M3" s="46" t="n"/>
      <c r="N3" s="43" t="n"/>
      <c r="O3" s="47" t="n"/>
      <c r="P3" s="46" t="n"/>
      <c r="Q3" s="43" t="n"/>
      <c r="R3" s="48">
        <f t="array" ref="R3:R3">IF(AND(ISNUMBER(P3),ISNUMBER(Q3)),EDATE((TRUE()+(0*7+IF(P3&gt;60,P3-1,P3))),Q3),"")</f>
        <v/>
      </c>
      <c r="S3" s="43" t="n"/>
      <c r="T3" s="43" t="n"/>
    </row>
    <row r="4" ht="15" customHeight="1" s="35">
      <c r="A4" s="42" t="inlineStr">
        <is>
          <t>CAM-003</t>
        </is>
      </c>
      <c r="B4" s="43" t="n"/>
      <c r="C4" s="43" t="n"/>
      <c r="D4" s="44" t="n"/>
      <c r="E4" s="45" t="inlineStr">
        <is>
          <t>카메라 본체(CAM)</t>
        </is>
      </c>
      <c r="F4" s="45" t="inlineStr">
        <is>
          <t>미러리스 카메라</t>
        </is>
      </c>
      <c r="G4" s="42" t="inlineStr">
        <is>
          <t>Sony a7m4</t>
        </is>
      </c>
      <c r="H4" s="42" t="inlineStr">
        <is>
          <t>Sony</t>
        </is>
      </c>
      <c r="I4" s="42" t="inlineStr">
        <is>
          <t>a7m4</t>
        </is>
      </c>
      <c r="J4" s="43" t="n"/>
      <c r="K4" s="45" t="inlineStr">
        <is>
          <t>정상</t>
        </is>
      </c>
      <c r="L4" s="43" t="n"/>
      <c r="M4" s="46" t="n"/>
      <c r="N4" s="43" t="n"/>
      <c r="O4" s="47" t="n"/>
      <c r="P4" s="46" t="n"/>
      <c r="Q4" s="43" t="n"/>
      <c r="R4" s="48">
        <f t="array" ref="R4:R4">IF(AND(ISNUMBER(P4),ISNUMBER(Q4)),EDATE((TRUE()+(0*7+IF(P4&gt;60,P4-1,P4))),Q4),"")</f>
        <v/>
      </c>
      <c r="S4" s="43" t="n"/>
      <c r="T4" s="43" t="n"/>
    </row>
    <row r="5" ht="15" customHeight="1" s="35">
      <c r="A5" s="42" t="inlineStr">
        <is>
          <t>CAM-004</t>
        </is>
      </c>
      <c r="B5" s="43" t="n"/>
      <c r="C5" s="43" t="n"/>
      <c r="D5" s="44" t="n"/>
      <c r="E5" s="45" t="inlineStr">
        <is>
          <t>카메라 본체(CAM)</t>
        </is>
      </c>
      <c r="F5" s="45" t="inlineStr">
        <is>
          <t>캠코더</t>
        </is>
      </c>
      <c r="G5" s="42" t="inlineStr">
        <is>
          <t>Sony PXW-Z90</t>
        </is>
      </c>
      <c r="H5" s="42" t="inlineStr">
        <is>
          <t>Sony</t>
        </is>
      </c>
      <c r="I5" s="42" t="inlineStr">
        <is>
          <t>PXW-Z90</t>
        </is>
      </c>
      <c r="J5" s="43" t="n"/>
      <c r="K5" s="45" t="inlineStr">
        <is>
          <t>정상</t>
        </is>
      </c>
      <c r="L5" s="43" t="n"/>
      <c r="M5" s="46" t="n"/>
      <c r="N5" s="43" t="n"/>
      <c r="O5" s="47" t="n"/>
      <c r="P5" s="46" t="n"/>
      <c r="Q5" s="43" t="n"/>
      <c r="R5" s="48">
        <f t="array" ref="R5:R5">IF(AND(ISNUMBER(P5),ISNUMBER(Q5)),EDATE((TRUE()+(0*7+IF(P5&gt;60,P5-1,P5))),Q5),"")</f>
        <v/>
      </c>
      <c r="S5" s="43" t="n"/>
      <c r="T5" s="43" t="n"/>
    </row>
    <row r="6" ht="15" customHeight="1" s="35">
      <c r="A6" s="49" t="inlineStr">
        <is>
          <t>CAM-005</t>
        </is>
      </c>
      <c r="B6" s="43" t="n"/>
      <c r="C6" s="43" t="n"/>
      <c r="D6" s="44" t="n"/>
      <c r="E6" s="45" t="inlineStr">
        <is>
          <t>카메라 본체(CAM)</t>
        </is>
      </c>
      <c r="F6" s="45" t="inlineStr">
        <is>
          <t>미러리스 카메라</t>
        </is>
      </c>
      <c r="G6" s="42" t="inlineStr">
        <is>
          <t>Sony a7m5</t>
        </is>
      </c>
      <c r="H6" s="42" t="inlineStr">
        <is>
          <t>Sony</t>
        </is>
      </c>
      <c r="I6" s="42" t="inlineStr">
        <is>
          <t>A7m5</t>
        </is>
      </c>
      <c r="J6" s="43" t="n"/>
      <c r="K6" s="45" t="inlineStr">
        <is>
          <t>정상</t>
        </is>
      </c>
      <c r="L6" s="43" t="n"/>
      <c r="M6" s="46" t="n"/>
      <c r="N6" s="43" t="n"/>
      <c r="O6" s="47" t="n"/>
      <c r="P6" s="46" t="n"/>
      <c r="Q6" s="43" t="n"/>
      <c r="R6" s="48">
        <f t="array" ref="R6:R6">IF(AND(ISNUMBER(P6),ISNUMBER(Q6)),EDATE((TRUE()+(0*7+IF(P6&gt;60,P6-1,P6))),Q6),"")</f>
        <v/>
      </c>
      <c r="S6" s="43" t="n"/>
      <c r="T6" s="43" t="n"/>
    </row>
    <row r="7" ht="15" customHeight="1" s="35">
      <c r="A7" s="42" t="inlineStr">
        <is>
          <t>TRP-001</t>
        </is>
      </c>
      <c r="B7" s="43" t="n"/>
      <c r="C7" s="43" t="n"/>
      <c r="D7" s="44" t="n"/>
      <c r="E7" s="45" t="inlineStr">
        <is>
          <t>삼각대(TRP)</t>
        </is>
      </c>
      <c r="F7" s="45" t="inlineStr">
        <is>
          <t>맨프로토</t>
        </is>
      </c>
      <c r="G7" s="42" t="inlineStr">
        <is>
          <t>manfrotto MVK504XTWINFA</t>
        </is>
      </c>
      <c r="H7" s="42" t="inlineStr">
        <is>
          <t>Manfrotto</t>
        </is>
      </c>
      <c r="I7" s="42" t="inlineStr">
        <is>
          <t>MVK504XTWINFA</t>
        </is>
      </c>
      <c r="J7" s="43" t="n"/>
      <c r="K7" s="45" t="inlineStr">
        <is>
          <t>정상</t>
        </is>
      </c>
      <c r="L7" s="43" t="n"/>
      <c r="M7" s="46" t="n">
        <v>44470</v>
      </c>
      <c r="N7" s="43" t="n"/>
      <c r="O7" s="47" t="n">
        <v>1270000</v>
      </c>
      <c r="P7" s="46" t="n"/>
      <c r="Q7" s="43" t="n"/>
      <c r="R7" s="48">
        <f t="array" ref="R7:R7">IF(AND(ISNUMBER(P7),ISNUMBER(Q7)),EDATE((TRUE()+(0*7+IF(P7&gt;60,P7-1,P7))),Q7),"")</f>
        <v/>
      </c>
      <c r="S7" s="43" t="n"/>
      <c r="T7" s="43" t="n"/>
    </row>
    <row r="8" ht="15" customHeight="1" s="35">
      <c r="A8" s="42" t="inlineStr">
        <is>
          <t>TRP-002</t>
        </is>
      </c>
      <c r="B8" s="43" t="n"/>
      <c r="C8" s="43" t="n"/>
      <c r="D8" s="44" t="n"/>
      <c r="E8" s="45" t="inlineStr">
        <is>
          <t>삼각대(TRP)</t>
        </is>
      </c>
      <c r="F8" s="45" t="inlineStr">
        <is>
          <t>맨프로토</t>
        </is>
      </c>
      <c r="G8" s="42" t="inlineStr">
        <is>
          <t>manfrotto Befree Live</t>
        </is>
      </c>
      <c r="H8" s="42" t="inlineStr">
        <is>
          <t>Manfrotto</t>
        </is>
      </c>
      <c r="I8" s="42" t="inlineStr">
        <is>
          <t>Befree Live</t>
        </is>
      </c>
      <c r="J8" s="43" t="n"/>
      <c r="K8" s="45" t="inlineStr">
        <is>
          <t>정상</t>
        </is>
      </c>
      <c r="L8" s="43" t="n"/>
      <c r="M8" s="46" t="n"/>
      <c r="N8" s="43" t="n"/>
      <c r="O8" s="47" t="n">
        <v>300000</v>
      </c>
      <c r="P8" s="46" t="n"/>
      <c r="Q8" s="43" t="n"/>
      <c r="R8" s="48">
        <f t="array" ref="R8:R8">IF(AND(ISNUMBER(P8),ISNUMBER(Q8)),EDATE((TRUE()+(0*7+IF(P8&gt;60,P8-1,P8))),Q8),"")</f>
        <v/>
      </c>
      <c r="S8" s="43" t="n"/>
      <c r="T8" s="43" t="n"/>
    </row>
    <row r="9" ht="15" customHeight="1" s="35">
      <c r="A9" s="42" t="inlineStr">
        <is>
          <t>TRP-003</t>
        </is>
      </c>
      <c r="B9" s="43" t="n"/>
      <c r="C9" s="43" t="n"/>
      <c r="D9" s="44" t="n"/>
      <c r="E9" s="45" t="inlineStr">
        <is>
          <t>삼각대(TRP)</t>
        </is>
      </c>
      <c r="F9" s="45" t="inlineStr">
        <is>
          <t>테리스</t>
        </is>
      </c>
      <c r="G9" s="42" t="inlineStr">
        <is>
          <t>TSN6CF-Q PLUS</t>
        </is>
      </c>
      <c r="H9" s="42" t="inlineStr">
        <is>
          <t>TSN6CF-Q</t>
        </is>
      </c>
      <c r="I9" s="42" t="inlineStr">
        <is>
          <t>PLUS</t>
        </is>
      </c>
      <c r="J9" s="43" t="n"/>
      <c r="K9" s="45" t="inlineStr">
        <is>
          <t>정상</t>
        </is>
      </c>
      <c r="L9" s="43" t="n"/>
      <c r="M9" s="46" t="n"/>
      <c r="N9" s="43" t="n"/>
      <c r="O9" s="47" t="n"/>
      <c r="P9" s="46" t="n"/>
      <c r="Q9" s="43" t="n"/>
      <c r="R9" s="48">
        <f t="array" ref="R9:R9">IF(AND(ISNUMBER(P9),ISNUMBER(Q9)),EDATE((TRUE()+(0*7+IF(P9&gt;60,P9-1,P9))),Q9),"")</f>
        <v/>
      </c>
      <c r="S9" s="43" t="n"/>
      <c r="T9" s="43" t="n"/>
    </row>
    <row r="10" ht="15" customHeight="1" s="35">
      <c r="A10" s="42" t="inlineStr">
        <is>
          <t>LEN-001</t>
        </is>
      </c>
      <c r="B10" s="43" t="n"/>
      <c r="C10" s="43" t="n"/>
      <c r="D10" s="44" t="n"/>
      <c r="E10" s="45" t="inlineStr">
        <is>
          <t>렌즈(LEN)</t>
        </is>
      </c>
      <c r="F10" s="45" t="inlineStr">
        <is>
          <t>표준줌 렌즈</t>
        </is>
      </c>
      <c r="G10" s="42" t="inlineStr">
        <is>
          <t>Sony 24-70   F2.8 GM</t>
        </is>
      </c>
      <c r="H10" s="42" t="inlineStr">
        <is>
          <t>Sony</t>
        </is>
      </c>
      <c r="I10" s="42" t="inlineStr">
        <is>
          <t>24-70   F2.8 GM2</t>
        </is>
      </c>
      <c r="J10" s="43" t="n"/>
      <c r="K10" s="45" t="inlineStr">
        <is>
          <t>정상</t>
        </is>
      </c>
      <c r="L10" s="43" t="n"/>
      <c r="M10" s="46" t="n"/>
      <c r="N10" s="43" t="n"/>
      <c r="O10" s="47" t="n"/>
      <c r="P10" s="46" t="n"/>
      <c r="Q10" s="43" t="n"/>
      <c r="R10" s="48">
        <f t="array" ref="R10:R10">IF(AND(ISNUMBER(P10),ISNUMBER(Q10)),EDATE((TRUE()+(0*7+IF(P10&gt;60,P10-1,P10))),Q10),"")</f>
        <v/>
      </c>
      <c r="S10" s="43" t="n"/>
      <c r="T10" s="43" t="n"/>
    </row>
    <row r="11" ht="15" customHeight="1" s="35">
      <c r="A11" s="42" t="inlineStr">
        <is>
          <t>LEN-002</t>
        </is>
      </c>
      <c r="B11" s="43" t="n"/>
      <c r="C11" s="43" t="n"/>
      <c r="D11" s="44" t="n"/>
      <c r="E11" s="45" t="inlineStr">
        <is>
          <t>렌즈(LEN)</t>
        </is>
      </c>
      <c r="F11" s="45" t="inlineStr">
        <is>
          <t>표준줌 렌즈</t>
        </is>
      </c>
      <c r="G11" s="42" t="inlineStr">
        <is>
          <t>Sony 70-200 F2.8 GM2</t>
        </is>
      </c>
      <c r="H11" s="42" t="inlineStr">
        <is>
          <t>Sony</t>
        </is>
      </c>
      <c r="I11" s="42" t="inlineStr">
        <is>
          <t>70-200 F2.8 GM2</t>
        </is>
      </c>
      <c r="J11" s="43" t="n"/>
      <c r="K11" s="45" t="inlineStr">
        <is>
          <t>정상</t>
        </is>
      </c>
      <c r="L11" s="43" t="n"/>
      <c r="M11" s="46" t="n"/>
      <c r="N11" s="43" t="n"/>
      <c r="O11" s="47" t="n"/>
      <c r="P11" s="46" t="n"/>
      <c r="Q11" s="43" t="n"/>
      <c r="R11" s="48">
        <f t="array" ref="R11:R11">IF(AND(ISNUMBER(P11),ISNUMBER(Q11)),EDATE((TRUE()+(0*7+IF(P11&gt;60,P11-1,P11))),Q11),"")</f>
        <v/>
      </c>
      <c r="S11" s="43" t="n"/>
      <c r="T11" s="43" t="n"/>
    </row>
    <row r="12" ht="15" customHeight="1" s="35">
      <c r="A12" s="42" t="inlineStr">
        <is>
          <t>LEN-003</t>
        </is>
      </c>
      <c r="B12" s="43" t="n"/>
      <c r="C12" s="43" t="n"/>
      <c r="D12" s="44" t="n"/>
      <c r="E12" s="45" t="inlineStr">
        <is>
          <t>렌즈(LEN)</t>
        </is>
      </c>
      <c r="F12" s="45" t="inlineStr">
        <is>
          <t>매크로 렌즈</t>
        </is>
      </c>
      <c r="G12" s="42" t="inlineStr">
        <is>
          <t>Sony 90mm  F2.8</t>
        </is>
      </c>
      <c r="H12" s="42" t="inlineStr">
        <is>
          <t>Sony</t>
        </is>
      </c>
      <c r="I12" s="42" t="inlineStr">
        <is>
          <t>90mm  F2.8</t>
        </is>
      </c>
      <c r="J12" s="43" t="n"/>
      <c r="K12" s="45" t="inlineStr">
        <is>
          <t>정상</t>
        </is>
      </c>
      <c r="L12" s="43" t="n"/>
      <c r="M12" s="46" t="n"/>
      <c r="N12" s="43" t="n"/>
      <c r="O12" s="47" t="n"/>
      <c r="P12" s="46" t="n"/>
      <c r="Q12" s="43" t="n"/>
      <c r="R12" s="48">
        <f t="array" ref="R12:R12">IF(AND(ISNUMBER(P12),ISNUMBER(Q12)),EDATE((TRUE()+(0*7+IF(P12&gt;60,P12-1,P12))),Q12),"")</f>
        <v/>
      </c>
      <c r="S12" s="43" t="n"/>
      <c r="T12" s="43" t="n"/>
    </row>
    <row r="13" ht="15" customHeight="1" s="35">
      <c r="A13" s="42" t="inlineStr">
        <is>
          <t>LEN-004</t>
        </is>
      </c>
      <c r="B13" s="43" t="n"/>
      <c r="C13" s="43" t="n"/>
      <c r="D13" s="44" t="n"/>
      <c r="E13" s="45" t="inlineStr">
        <is>
          <t>렌즈(LEN)</t>
        </is>
      </c>
      <c r="F13" s="45" t="inlineStr">
        <is>
          <t>표준줌 렌즈</t>
        </is>
      </c>
      <c r="G13" s="42" t="inlineStr">
        <is>
          <t>Sony 28-135 F4</t>
        </is>
      </c>
      <c r="H13" s="42" t="inlineStr">
        <is>
          <t>Sony</t>
        </is>
      </c>
      <c r="I13" s="42" t="inlineStr">
        <is>
          <t>28-135 F4</t>
        </is>
      </c>
      <c r="J13" s="43" t="n"/>
      <c r="K13" s="45" t="inlineStr">
        <is>
          <t>정상</t>
        </is>
      </c>
      <c r="L13" s="43" t="n"/>
      <c r="M13" s="46" t="n"/>
      <c r="N13" s="43" t="n"/>
      <c r="O13" s="47" t="n"/>
      <c r="P13" s="46" t="n"/>
      <c r="Q13" s="43" t="n"/>
      <c r="R13" s="48">
        <f t="array" ref="R13:R13">IF(AND(ISNUMBER(P13),ISNUMBER(Q13)),EDATE((TRUE()+(0*7+IF(P13&gt;60,P13-1,P13))),Q13),"")</f>
        <v/>
      </c>
      <c r="S13" s="43" t="n"/>
      <c r="T13" s="43" t="n"/>
    </row>
    <row r="14" ht="15" customHeight="1" s="35">
      <c r="A14" s="42" t="inlineStr">
        <is>
          <t>LEN-005</t>
        </is>
      </c>
      <c r="B14" s="43" t="n"/>
      <c r="C14" s="43" t="n"/>
      <c r="D14" s="44" t="n"/>
      <c r="E14" s="45" t="inlineStr">
        <is>
          <t>렌즈(LEN)</t>
        </is>
      </c>
      <c r="F14" s="45" t="inlineStr">
        <is>
          <t>표준줌 렌즈</t>
        </is>
      </c>
      <c r="G14" s="42" t="inlineStr">
        <is>
          <t>Sony 16-35 F2.8</t>
        </is>
      </c>
      <c r="H14" s="42" t="inlineStr">
        <is>
          <t>Sony</t>
        </is>
      </c>
      <c r="I14" s="42" t="inlineStr">
        <is>
          <t>16-35 F2.8</t>
        </is>
      </c>
      <c r="J14" s="43" t="n"/>
      <c r="K14" s="45" t="inlineStr">
        <is>
          <t>정상</t>
        </is>
      </c>
      <c r="L14" s="43" t="n"/>
      <c r="M14" s="46" t="n"/>
      <c r="N14" s="43" t="n"/>
      <c r="O14" s="47" t="n"/>
      <c r="P14" s="46" t="n"/>
      <c r="Q14" s="43" t="n"/>
      <c r="R14" s="48">
        <f t="array" ref="R14:R14">IF(AND(ISNUMBER(P14),ISNUMBER(Q14)),EDATE((TRUE()+(0*7+IF(P14&gt;60,P14-1,P14))),Q14),"")</f>
        <v/>
      </c>
      <c r="S14" s="43" t="n"/>
      <c r="T14" s="43" t="n"/>
    </row>
    <row r="15" ht="15" customHeight="1" s="35">
      <c r="A15" s="49" t="inlineStr">
        <is>
          <t>LEN-006</t>
        </is>
      </c>
      <c r="B15" s="43" t="n"/>
      <c r="C15" s="43" t="n"/>
      <c r="D15" s="44" t="n"/>
      <c r="E15" s="45" t="inlineStr">
        <is>
          <t>렌즈(LEN)</t>
        </is>
      </c>
      <c r="F15" s="45" t="inlineStr">
        <is>
          <t>표준줌 렌즈</t>
        </is>
      </c>
      <c r="G15" s="42" t="inlineStr">
        <is>
          <t>Sony 24-70   F2.8 GM2</t>
        </is>
      </c>
      <c r="H15" s="42" t="inlineStr">
        <is>
          <t>Sony</t>
        </is>
      </c>
      <c r="I15" s="42" t="inlineStr">
        <is>
          <t>24-70   F2.8 GM2</t>
        </is>
      </c>
      <c r="J15" s="43" t="n"/>
      <c r="K15" s="45" t="inlineStr">
        <is>
          <t>정상</t>
        </is>
      </c>
      <c r="L15" s="43" t="n"/>
      <c r="M15" s="46" t="n"/>
      <c r="N15" s="43" t="n"/>
      <c r="O15" s="47" t="n"/>
      <c r="P15" s="46" t="n"/>
      <c r="Q15" s="43" t="n"/>
      <c r="R15" s="48">
        <f t="array" ref="R15:R15">IF(AND(ISNUMBER(P15),ISNUMBER(Q15)),EDATE((TRUE()+(0*7+IF(P15&gt;60,P15-1,P15))),Q15),"")</f>
        <v/>
      </c>
      <c r="S15" s="43" t="n"/>
      <c r="T15" s="43" t="n"/>
    </row>
    <row r="16" ht="15" customHeight="1" s="35">
      <c r="A16" s="42" t="inlineStr">
        <is>
          <t>AUD-001</t>
        </is>
      </c>
      <c r="B16" s="43" t="n"/>
      <c r="C16" s="43" t="n"/>
      <c r="D16" s="44" t="n"/>
      <c r="E16" s="45" t="inlineStr">
        <is>
          <t>마이크/오디오(AUD)</t>
        </is>
      </c>
      <c r="F16" s="45" t="inlineStr">
        <is>
          <t>무선 마이크</t>
        </is>
      </c>
      <c r="G16" s="42" t="inlineStr">
        <is>
          <t>Sony ICD-TX660</t>
        </is>
      </c>
      <c r="H16" s="42" t="inlineStr">
        <is>
          <t>Sony</t>
        </is>
      </c>
      <c r="I16" s="42" t="inlineStr">
        <is>
          <t>ICD-TX660</t>
        </is>
      </c>
      <c r="J16" s="43" t="n"/>
      <c r="K16" s="45" t="inlineStr">
        <is>
          <t>정상</t>
        </is>
      </c>
      <c r="L16" s="43" t="n"/>
      <c r="M16" s="46" t="n">
        <v>44529</v>
      </c>
      <c r="N16" s="43" t="n"/>
      <c r="O16" s="47" t="n">
        <v>169000</v>
      </c>
      <c r="P16" s="46" t="n"/>
      <c r="Q16" s="43" t="n"/>
      <c r="R16" s="48">
        <f t="array" ref="R16:R16">IF(AND(ISNUMBER(P16),ISNUMBER(Q16)),EDATE((TRUE()+(0*7+IF(P16&gt;60,P16-1,P16))),Q16),"")</f>
        <v/>
      </c>
      <c r="S16" s="43" t="n"/>
      <c r="T16" s="43" t="n"/>
    </row>
    <row r="17" ht="15" customHeight="1" s="35">
      <c r="A17" s="42" t="inlineStr">
        <is>
          <t>AUD-002</t>
        </is>
      </c>
      <c r="B17" s="43" t="n"/>
      <c r="C17" s="43" t="n"/>
      <c r="D17" s="44" t="n"/>
      <c r="E17" s="45" t="inlineStr">
        <is>
          <t>마이크/오디오(AUD)</t>
        </is>
      </c>
      <c r="F17" s="45" t="inlineStr">
        <is>
          <t>무선 마이크</t>
        </is>
      </c>
      <c r="G17" s="42" t="inlineStr">
        <is>
          <t>Sony ICD-TX660</t>
        </is>
      </c>
      <c r="H17" s="42" t="inlineStr">
        <is>
          <t>Sony</t>
        </is>
      </c>
      <c r="I17" s="42" t="inlineStr">
        <is>
          <t>ICD-TX660</t>
        </is>
      </c>
      <c r="J17" s="43" t="n"/>
      <c r="K17" s="45" t="inlineStr">
        <is>
          <t>정상</t>
        </is>
      </c>
      <c r="L17" s="43" t="n"/>
      <c r="M17" s="46" t="n">
        <v>44529</v>
      </c>
      <c r="N17" s="43" t="n"/>
      <c r="O17" s="47" t="n">
        <v>169000</v>
      </c>
      <c r="P17" s="46" t="n"/>
      <c r="Q17" s="43" t="n"/>
      <c r="R17" s="48">
        <f t="array" ref="R17:R17">IF(AND(ISNUMBER(P17),ISNUMBER(Q17)),EDATE((TRUE()+(0*7+IF(P17&gt;60,P17-1,P17))),Q17),"")</f>
        <v/>
      </c>
      <c r="S17" s="43" t="n"/>
      <c r="T17" s="43" t="n"/>
    </row>
    <row r="18" ht="15" customHeight="1" s="35">
      <c r="A18" s="42" t="inlineStr">
        <is>
          <t>AUD-003</t>
        </is>
      </c>
      <c r="B18" s="43" t="n"/>
      <c r="C18" s="43" t="n"/>
      <c r="D18" s="44" t="n"/>
      <c r="E18" s="45" t="inlineStr">
        <is>
          <t>마이크/오디오(AUD)</t>
        </is>
      </c>
      <c r="F18" s="45" t="inlineStr">
        <is>
          <t>무선 마이크</t>
        </is>
      </c>
      <c r="G18" s="42" t="inlineStr">
        <is>
          <t>RODE wireless GO2</t>
        </is>
      </c>
      <c r="H18" s="42" t="inlineStr">
        <is>
          <t>RODE</t>
        </is>
      </c>
      <c r="I18" s="42" t="inlineStr">
        <is>
          <t>wireless GO2</t>
        </is>
      </c>
      <c r="J18" s="43" t="n"/>
      <c r="K18" s="45" t="inlineStr">
        <is>
          <t>정상</t>
        </is>
      </c>
      <c r="L18" s="43" t="n"/>
      <c r="M18" s="46" t="n">
        <v>44504</v>
      </c>
      <c r="N18" s="43" t="n"/>
      <c r="O18" s="47" t="n">
        <v>438000</v>
      </c>
      <c r="P18" s="46" t="n"/>
      <c r="Q18" s="43" t="n"/>
      <c r="R18" s="48">
        <f t="array" ref="R18:R18">IF(AND(ISNUMBER(P18),ISNUMBER(Q18)),EDATE((TRUE()+(0*7+IF(P18&gt;60,P18-1,P18))),Q18),"")</f>
        <v/>
      </c>
      <c r="S18" s="43" t="n"/>
      <c r="T18" s="43" t="n"/>
    </row>
    <row r="19" ht="15" customHeight="1" s="35">
      <c r="A19" s="42" t="inlineStr">
        <is>
          <t>AUD-004</t>
        </is>
      </c>
      <c r="B19" s="43" t="n"/>
      <c r="C19" s="43" t="n"/>
      <c r="D19" s="44" t="n"/>
      <c r="E19" s="45" t="inlineStr">
        <is>
          <t>마이크/오디오(AUD)</t>
        </is>
      </c>
      <c r="F19" s="45" t="inlineStr">
        <is>
          <t>무선 마이크</t>
        </is>
      </c>
      <c r="G19" s="42" t="inlineStr">
        <is>
          <t>RODE LAVALIER I</t>
        </is>
      </c>
      <c r="H19" s="42" t="inlineStr">
        <is>
          <t>RODE</t>
        </is>
      </c>
      <c r="I19" s="42" t="inlineStr">
        <is>
          <t>LAVALIER I</t>
        </is>
      </c>
      <c r="J19" s="43" t="n"/>
      <c r="K19" s="45" t="inlineStr">
        <is>
          <t>수리필요</t>
        </is>
      </c>
      <c r="L19" s="43" t="n"/>
      <c r="M19" s="46" t="n">
        <v>44505</v>
      </c>
      <c r="N19" s="43" t="n"/>
      <c r="O19" s="47" t="n">
        <v>188000</v>
      </c>
      <c r="P19" s="46" t="n"/>
      <c r="Q19" s="43" t="n"/>
      <c r="R19" s="48">
        <f t="array" ref="R19:R19">IF(AND(ISNUMBER(P19),ISNUMBER(Q19)),EDATE((TRUE()+(0*7+IF(P19&gt;60,P19-1,P19))),Q19),"")</f>
        <v/>
      </c>
      <c r="S19" s="43" t="n"/>
      <c r="T19" s="42" t="inlineStr">
        <is>
          <t>1개 고장</t>
        </is>
      </c>
    </row>
    <row r="20" ht="15" customHeight="1" s="35">
      <c r="A20" s="42" t="inlineStr">
        <is>
          <t>AUD-005</t>
        </is>
      </c>
      <c r="B20" s="43" t="n"/>
      <c r="C20" s="43" t="n"/>
      <c r="D20" s="44" t="n"/>
      <c r="E20" s="45" t="inlineStr">
        <is>
          <t>마이크/오디오(AUD)</t>
        </is>
      </c>
      <c r="F20" s="45" t="inlineStr">
        <is>
          <t>무선 마이크</t>
        </is>
      </c>
      <c r="G20" s="42" t="inlineStr">
        <is>
          <t>RODE LAVALIER I</t>
        </is>
      </c>
      <c r="H20" s="42" t="inlineStr">
        <is>
          <t>RODE</t>
        </is>
      </c>
      <c r="I20" s="42" t="inlineStr">
        <is>
          <t>LAVALIER I</t>
        </is>
      </c>
      <c r="J20" s="43" t="n"/>
      <c r="K20" s="45" t="inlineStr">
        <is>
          <t>수리필요</t>
        </is>
      </c>
      <c r="L20" s="43" t="n"/>
      <c r="M20" s="46" t="n">
        <v>44505</v>
      </c>
      <c r="N20" s="43" t="n"/>
      <c r="O20" s="47" t="n">
        <v>188000</v>
      </c>
      <c r="P20" s="46" t="n"/>
      <c r="Q20" s="43" t="n"/>
      <c r="R20" s="48">
        <f t="array" ref="R20:R20">IF(AND(ISNUMBER(P20),ISNUMBER(Q20)),EDATE((TRUE()+(0*7+IF(P20&gt;60,P20-1,P20))),Q20),"")</f>
        <v/>
      </c>
      <c r="S20" s="43" t="n"/>
      <c r="T20" s="42" t="inlineStr">
        <is>
          <t>1개 고장</t>
        </is>
      </c>
    </row>
    <row r="21" ht="15" customHeight="1" s="35">
      <c r="A21" s="42" t="inlineStr">
        <is>
          <t>AUD-006</t>
        </is>
      </c>
      <c r="B21" s="43" t="n"/>
      <c r="C21" s="43" t="n"/>
      <c r="D21" s="44" t="n"/>
      <c r="E21" s="45" t="inlineStr">
        <is>
          <t>마이크/오디오(AUD)</t>
        </is>
      </c>
      <c r="F21" s="45" t="inlineStr">
        <is>
          <t>무선 마이크</t>
        </is>
      </c>
      <c r="G21" s="42" t="inlineStr">
        <is>
          <t>RODE LAVALIER II</t>
        </is>
      </c>
      <c r="H21" s="42" t="inlineStr">
        <is>
          <t>RODE</t>
        </is>
      </c>
      <c r="I21" s="42" t="inlineStr">
        <is>
          <t>LAVALIER II</t>
        </is>
      </c>
      <c r="J21" s="43" t="n"/>
      <c r="K21" s="45" t="inlineStr">
        <is>
          <t>정상</t>
        </is>
      </c>
      <c r="L21" s="43" t="n"/>
      <c r="M21" s="46" t="n">
        <v>44505</v>
      </c>
      <c r="N21" s="43" t="n"/>
      <c r="O21" s="47" t="n">
        <v>188000</v>
      </c>
      <c r="P21" s="46" t="n"/>
      <c r="Q21" s="43" t="n"/>
      <c r="R21" s="48">
        <f t="array" ref="R21:R21">IF(AND(ISNUMBER(P21),ISNUMBER(Q21)),EDATE((TRUE()+(0*7+IF(P21&gt;60,P21-1,P21))),Q21),"")</f>
        <v/>
      </c>
      <c r="S21" s="43" t="n"/>
      <c r="T21" s="43" t="n"/>
    </row>
    <row r="22" ht="15" customHeight="1" s="35">
      <c r="A22" s="42" t="inlineStr">
        <is>
          <t>AUD-007</t>
        </is>
      </c>
      <c r="B22" s="43" t="n"/>
      <c r="C22" s="43" t="n"/>
      <c r="D22" s="44" t="n"/>
      <c r="E22" s="45" t="inlineStr">
        <is>
          <t>마이크/오디오(AUD)</t>
        </is>
      </c>
      <c r="F22" s="45" t="inlineStr">
        <is>
          <t>무선 마이크</t>
        </is>
      </c>
      <c r="G22" s="42" t="inlineStr">
        <is>
          <t>RODE LAVALIER II</t>
        </is>
      </c>
      <c r="H22" s="42" t="inlineStr">
        <is>
          <t>RODE</t>
        </is>
      </c>
      <c r="I22" s="42" t="inlineStr">
        <is>
          <t>LAVALIER II</t>
        </is>
      </c>
      <c r="J22" s="43" t="n"/>
      <c r="K22" s="45" t="inlineStr">
        <is>
          <t>정상</t>
        </is>
      </c>
      <c r="L22" s="43" t="n"/>
      <c r="M22" s="46" t="n">
        <v>44505</v>
      </c>
      <c r="N22" s="43" t="n"/>
      <c r="O22" s="47" t="n">
        <v>188000</v>
      </c>
      <c r="P22" s="46" t="n"/>
      <c r="Q22" s="43" t="n"/>
      <c r="R22" s="48">
        <f t="array" ref="R22:R22">IF(AND(ISNUMBER(P22),ISNUMBER(Q22)),EDATE((TRUE()+(0*7+IF(P22&gt;60,P22-1,P22))),Q22),"")</f>
        <v/>
      </c>
      <c r="S22" s="43" t="n"/>
      <c r="T22" s="43" t="n"/>
    </row>
    <row r="23" ht="15" customHeight="1" s="35">
      <c r="A23" s="42" t="inlineStr">
        <is>
          <t>AUD-008</t>
        </is>
      </c>
      <c r="B23" s="43" t="n"/>
      <c r="C23" s="43" t="n"/>
      <c r="D23" s="44" t="n"/>
      <c r="E23" s="45" t="inlineStr">
        <is>
          <t>마이크/오디오(AUD)</t>
        </is>
      </c>
      <c r="F23" s="45" t="inlineStr">
        <is>
          <t>샷건 마이크</t>
        </is>
      </c>
      <c r="G23" s="42" t="inlineStr">
        <is>
          <t>RODE NTG5 kit</t>
        </is>
      </c>
      <c r="H23" s="42" t="inlineStr">
        <is>
          <t>RODE</t>
        </is>
      </c>
      <c r="I23" s="42" t="inlineStr">
        <is>
          <t>NTG5 kit</t>
        </is>
      </c>
      <c r="J23" s="43" t="n"/>
      <c r="K23" s="45" t="inlineStr">
        <is>
          <t>정상</t>
        </is>
      </c>
      <c r="L23" s="43" t="n"/>
      <c r="M23" s="46" t="n"/>
      <c r="N23" s="43" t="n"/>
      <c r="O23" s="47" t="n"/>
      <c r="P23" s="46" t="n"/>
      <c r="Q23" s="43" t="n"/>
      <c r="R23" s="48">
        <f t="array" ref="R23:R23">IF(AND(ISNUMBER(P23),ISNUMBER(Q23)),EDATE((TRUE()+(0*7+IF(P23&gt;60,P23-1,P23))),Q23),"")</f>
        <v/>
      </c>
      <c r="S23" s="43" t="n"/>
      <c r="T23" s="43" t="n"/>
    </row>
    <row r="24" ht="15" customHeight="1" s="35">
      <c r="A24" s="42" t="inlineStr">
        <is>
          <t>LIT-001</t>
        </is>
      </c>
      <c r="B24" s="43" t="n"/>
      <c r="C24" s="43" t="n"/>
      <c r="D24" s="44" t="n"/>
      <c r="E24" s="45" t="inlineStr">
        <is>
          <t>조명(LIT)</t>
        </is>
      </c>
      <c r="F24" s="42" t="inlineStr">
        <is>
          <t>LED 지속광 조명</t>
        </is>
      </c>
      <c r="G24" s="42" t="inlineStr">
        <is>
          <t>NANLITE Forza 500</t>
        </is>
      </c>
      <c r="H24" s="42" t="inlineStr">
        <is>
          <t>NANLITE</t>
        </is>
      </c>
      <c r="I24" s="42" t="inlineStr">
        <is>
          <t>Forza 500</t>
        </is>
      </c>
      <c r="J24" s="43" t="n"/>
      <c r="K24" s="45" t="inlineStr">
        <is>
          <t>정상</t>
        </is>
      </c>
      <c r="L24" s="43" t="n"/>
      <c r="M24" s="46" t="n"/>
      <c r="N24" s="43" t="n"/>
      <c r="O24" s="47" t="n"/>
      <c r="P24" s="46" t="n"/>
      <c r="Q24" s="43" t="n"/>
      <c r="R24" s="48">
        <f t="array" ref="R24:R24">IF(AND(ISNUMBER(P24),ISNUMBER(Q24)),EDATE((TRUE()+(0*7+IF(P24&gt;60,P24-1,P24))),Q24),"")</f>
        <v/>
      </c>
      <c r="S24" s="43" t="n"/>
      <c r="T24" s="43" t="n"/>
    </row>
    <row r="25" ht="15" customHeight="1" s="35">
      <c r="A25" s="42" t="inlineStr">
        <is>
          <t>LIT-002</t>
        </is>
      </c>
      <c r="B25" s="43" t="n"/>
      <c r="C25" s="43" t="n"/>
      <c r="D25" s="44" t="n"/>
      <c r="E25" s="45" t="inlineStr">
        <is>
          <t>조명(LIT)</t>
        </is>
      </c>
      <c r="F25" s="42" t="inlineStr">
        <is>
          <t>LED 지속광 조명</t>
        </is>
      </c>
      <c r="G25" s="42" t="inlineStr">
        <is>
          <t>NANLITE Forza 500B Ⅱ</t>
        </is>
      </c>
      <c r="H25" s="42" t="inlineStr">
        <is>
          <t>NANLITE</t>
        </is>
      </c>
      <c r="I25" s="42" t="inlineStr">
        <is>
          <t>Forza 500B Ⅱ</t>
        </is>
      </c>
      <c r="J25" s="43" t="n"/>
      <c r="K25" s="45" t="inlineStr">
        <is>
          <t>정상</t>
        </is>
      </c>
      <c r="L25" s="43" t="n"/>
      <c r="M25" s="46" t="n"/>
      <c r="N25" s="43" t="n"/>
      <c r="O25" s="47" t="n"/>
      <c r="P25" s="46" t="n"/>
      <c r="Q25" s="43" t="n"/>
      <c r="R25" s="48">
        <f t="array" ref="R25:R25">IF(AND(ISNUMBER(P25),ISNUMBER(Q25)),EDATE((TRUE()+(0*7+IF(P25&gt;60,P25-1,P25))),Q25),"")</f>
        <v/>
      </c>
      <c r="S25" s="43" t="n"/>
      <c r="T25" s="43" t="n"/>
    </row>
    <row r="26" ht="15" customHeight="1" s="35">
      <c r="A26" s="42" t="inlineStr">
        <is>
          <t>LIT-003</t>
        </is>
      </c>
      <c r="B26" s="43" t="n"/>
      <c r="C26" s="43" t="n"/>
      <c r="D26" s="44" t="n"/>
      <c r="E26" s="45" t="inlineStr">
        <is>
          <t>조명(LIT)</t>
        </is>
      </c>
      <c r="F26" s="42" t="inlineStr">
        <is>
          <t>LED 지속광 조명</t>
        </is>
      </c>
      <c r="G26" s="42" t="inlineStr">
        <is>
          <t>NANLITE Pavoslim240B</t>
        </is>
      </c>
      <c r="H26" s="42" t="inlineStr">
        <is>
          <t>NANLITE</t>
        </is>
      </c>
      <c r="I26" s="42" t="inlineStr">
        <is>
          <t>Pavoslim240B</t>
        </is>
      </c>
      <c r="J26" s="43" t="n"/>
      <c r="K26" s="45" t="inlineStr">
        <is>
          <t>정상</t>
        </is>
      </c>
      <c r="L26" s="43" t="n"/>
      <c r="M26" s="46" t="n"/>
      <c r="N26" s="43" t="n"/>
      <c r="O26" s="47" t="n"/>
      <c r="P26" s="46" t="n"/>
      <c r="Q26" s="43" t="n"/>
      <c r="R26" s="48">
        <f t="array" ref="R26:R26">IF(AND(ISNUMBER(P26),ISNUMBER(Q26)),EDATE((TRUE()+(0*7+IF(P26&gt;60,P26-1,P26))),Q26),"")</f>
        <v/>
      </c>
      <c r="S26" s="43" t="n"/>
      <c r="T26" s="43" t="n"/>
    </row>
    <row r="27" ht="15" customHeight="1" s="35">
      <c r="A27" s="42" t="inlineStr">
        <is>
          <t>LIT-004</t>
        </is>
      </c>
      <c r="B27" s="43" t="n"/>
      <c r="C27" s="43" t="n"/>
      <c r="D27" s="44" t="n"/>
      <c r="E27" s="45" t="inlineStr">
        <is>
          <t>조명(LIT)</t>
        </is>
      </c>
      <c r="F27" s="42" t="inlineStr">
        <is>
          <t>LED 지속광 조명</t>
        </is>
      </c>
      <c r="G27" s="42" t="inlineStr">
        <is>
          <t>NANLITE MixPanel 150</t>
        </is>
      </c>
      <c r="H27" s="42" t="inlineStr">
        <is>
          <t>NANLITE</t>
        </is>
      </c>
      <c r="I27" s="42" t="inlineStr">
        <is>
          <t>MixPanel 150</t>
        </is>
      </c>
      <c r="J27" s="43" t="n"/>
      <c r="K27" s="45" t="inlineStr">
        <is>
          <t>정상</t>
        </is>
      </c>
      <c r="L27" s="43" t="n"/>
      <c r="M27" s="46" t="n"/>
      <c r="N27" s="43" t="n"/>
      <c r="O27" s="47" t="n"/>
      <c r="P27" s="46" t="n"/>
      <c r="Q27" s="43" t="n"/>
      <c r="R27" s="48">
        <f t="array" ref="R27:R27">IF(AND(ISNUMBER(P27),ISNUMBER(Q27)),EDATE((TRUE()+(0*7+IF(P27&gt;60,P27-1,P27))),Q27),"")</f>
        <v/>
      </c>
      <c r="S27" s="43" t="n"/>
      <c r="T27" s="43" t="n"/>
    </row>
    <row r="28" ht="15" customHeight="1" s="35">
      <c r="A28" s="42" t="inlineStr">
        <is>
          <t>LIT-005</t>
        </is>
      </c>
      <c r="B28" s="43" t="n"/>
      <c r="C28" s="43" t="n"/>
      <c r="D28" s="44" t="n"/>
      <c r="E28" s="45" t="inlineStr">
        <is>
          <t>조명(LIT)</t>
        </is>
      </c>
      <c r="F28" s="42" t="inlineStr">
        <is>
          <t>LED 지속광 조명</t>
        </is>
      </c>
      <c r="G28" s="42" t="inlineStr">
        <is>
          <t>NANLITE Forza 60B</t>
        </is>
      </c>
      <c r="H28" s="42" t="inlineStr">
        <is>
          <t>NANLITE</t>
        </is>
      </c>
      <c r="I28" s="42" t="inlineStr">
        <is>
          <t>Forza 60B</t>
        </is>
      </c>
      <c r="J28" s="43" t="n"/>
      <c r="K28" s="45" t="inlineStr">
        <is>
          <t>정상</t>
        </is>
      </c>
      <c r="L28" s="43" t="n"/>
      <c r="M28" s="46" t="n"/>
      <c r="N28" s="43" t="n"/>
      <c r="O28" s="47" t="n"/>
      <c r="P28" s="46" t="n"/>
      <c r="Q28" s="43" t="n"/>
      <c r="R28" s="48">
        <f t="array" ref="R28:R28">IF(AND(ISNUMBER(P28),ISNUMBER(Q28)),EDATE((TRUE()+(0*7+IF(P28&gt;60,P28-1,P28))),Q28),"")</f>
        <v/>
      </c>
      <c r="S28" s="43" t="n"/>
      <c r="T28" s="43" t="n"/>
    </row>
    <row r="29" ht="15" customHeight="1" s="35">
      <c r="A29" s="42" t="inlineStr">
        <is>
          <t>LIT-006</t>
        </is>
      </c>
      <c r="B29" s="43" t="n"/>
      <c r="C29" s="43" t="n"/>
      <c r="D29" s="44" t="n"/>
      <c r="E29" s="45" t="inlineStr">
        <is>
          <t>조명(LIT)</t>
        </is>
      </c>
      <c r="F29" s="42" t="inlineStr">
        <is>
          <t>LED 지속광 조명</t>
        </is>
      </c>
      <c r="G29" s="42" t="inlineStr">
        <is>
          <t>NANLITE Forza 60B Ⅱ</t>
        </is>
      </c>
      <c r="H29" s="42" t="inlineStr">
        <is>
          <t>NANLITE</t>
        </is>
      </c>
      <c r="I29" s="42" t="inlineStr">
        <is>
          <t>Forza 60B Ⅱ</t>
        </is>
      </c>
      <c r="J29" s="43" t="n"/>
      <c r="K29" s="45" t="inlineStr">
        <is>
          <t>정상</t>
        </is>
      </c>
      <c r="L29" s="43" t="n"/>
      <c r="M29" s="46" t="n"/>
      <c r="N29" s="43" t="n"/>
      <c r="O29" s="47" t="n"/>
      <c r="P29" s="46" t="n"/>
      <c r="Q29" s="43" t="n"/>
      <c r="R29" s="48">
        <f t="array" ref="R29:R29">IF(AND(ISNUMBER(P29),ISNUMBER(Q29)),EDATE((TRUE()+(0*7+IF(P29&gt;60,P29-1,P29))),Q29),"")</f>
        <v/>
      </c>
      <c r="S29" s="43" t="n"/>
      <c r="T29" s="43" t="n"/>
    </row>
    <row r="30" ht="15" customHeight="1" s="35">
      <c r="A30" s="42" t="inlineStr">
        <is>
          <t>LIT-007</t>
        </is>
      </c>
      <c r="B30" s="43" t="n"/>
      <c r="C30" s="43" t="n"/>
      <c r="D30" s="44" t="n"/>
      <c r="E30" s="45" t="inlineStr">
        <is>
          <t>조명(LIT)</t>
        </is>
      </c>
      <c r="F30" s="42" t="inlineStr">
        <is>
          <t>LED 지속광 조명</t>
        </is>
      </c>
      <c r="G30" s="42" t="inlineStr">
        <is>
          <t>NANLITE PavoTube</t>
        </is>
      </c>
      <c r="H30" s="42" t="inlineStr">
        <is>
          <t>NANLITE</t>
        </is>
      </c>
      <c r="I30" s="42" t="inlineStr">
        <is>
          <t>PavoTube</t>
        </is>
      </c>
      <c r="J30" s="43" t="n"/>
      <c r="K30" s="45" t="inlineStr">
        <is>
          <t>정상</t>
        </is>
      </c>
      <c r="L30" s="43" t="n"/>
      <c r="M30" s="46" t="n"/>
      <c r="N30" s="43" t="n"/>
      <c r="O30" s="47" t="n"/>
      <c r="P30" s="46" t="n"/>
      <c r="Q30" s="43" t="n"/>
      <c r="R30" s="48">
        <f t="array" ref="R30:R30">IF(AND(ISNUMBER(P30),ISNUMBER(Q30)),EDATE((TRUE()+(0*7+IF(P30&gt;60,P30-1,P30))),Q30),"")</f>
        <v/>
      </c>
      <c r="S30" s="43" t="n"/>
      <c r="T30" s="43" t="n"/>
    </row>
    <row r="31" ht="15" customHeight="1" s="35">
      <c r="A31" s="42" t="inlineStr">
        <is>
          <t>LIT-008</t>
        </is>
      </c>
      <c r="B31" s="43" t="n"/>
      <c r="C31" s="43" t="n"/>
      <c r="D31" s="44" t="n"/>
      <c r="E31" s="45" t="inlineStr">
        <is>
          <t>조명(LIT)</t>
        </is>
      </c>
      <c r="F31" s="42" t="inlineStr">
        <is>
          <t>LED 지속광 조명</t>
        </is>
      </c>
      <c r="G31" s="42" t="inlineStr">
        <is>
          <t>NANLITE PavoTube</t>
        </is>
      </c>
      <c r="H31" s="42" t="inlineStr">
        <is>
          <t>NANLITE</t>
        </is>
      </c>
      <c r="I31" s="42" t="inlineStr">
        <is>
          <t>PavoTube</t>
        </is>
      </c>
      <c r="J31" s="43" t="n"/>
      <c r="K31" s="45" t="inlineStr">
        <is>
          <t>정상</t>
        </is>
      </c>
      <c r="L31" s="43" t="n"/>
      <c r="M31" s="46" t="n"/>
      <c r="N31" s="43" t="n"/>
      <c r="O31" s="47" t="n"/>
      <c r="P31" s="46" t="n"/>
      <c r="Q31" s="43" t="n"/>
      <c r="R31" s="48">
        <f t="array" ref="R31:R31">IF(AND(ISNUMBER(P31),ISNUMBER(Q31)),EDATE((TRUE()+(0*7+IF(P31&gt;60,P31-1,P31))),Q31),"")</f>
        <v/>
      </c>
      <c r="S31" s="43" t="n"/>
      <c r="T31" s="43" t="n"/>
    </row>
    <row r="32" ht="15" customHeight="1" s="35">
      <c r="A32" s="42" t="inlineStr">
        <is>
          <t>LIT-009</t>
        </is>
      </c>
      <c r="B32" s="43" t="n"/>
      <c r="C32" s="43" t="n"/>
      <c r="D32" s="44" t="n"/>
      <c r="E32" s="45" t="inlineStr">
        <is>
          <t>조명(LIT)</t>
        </is>
      </c>
      <c r="F32" s="45" t="inlineStr">
        <is>
          <t>순간광 조명</t>
        </is>
      </c>
      <c r="G32" s="45" t="inlineStr">
        <is>
          <t>고독스 AD300Pro</t>
        </is>
      </c>
      <c r="H32" s="42" t="inlineStr">
        <is>
          <t>Godox</t>
        </is>
      </c>
      <c r="I32" s="42" t="inlineStr">
        <is>
          <t>AD300Pro</t>
        </is>
      </c>
      <c r="J32" s="43" t="n"/>
      <c r="K32" s="45" t="inlineStr">
        <is>
          <t>정상</t>
        </is>
      </c>
      <c r="L32" s="43" t="n"/>
      <c r="M32" s="46" t="n">
        <v>44656</v>
      </c>
      <c r="N32" s="43" t="n"/>
      <c r="O32" s="47" t="n">
        <v>550000</v>
      </c>
      <c r="P32" s="46" t="n"/>
      <c r="Q32" s="43" t="n"/>
      <c r="R32" s="48">
        <f t="array" ref="R32:R32">IF(AND(ISNUMBER(P32),ISNUMBER(Q32)),EDATE((TRUE()+(0*7+IF(P32&gt;60,P32-1,P32))),Q32),"")</f>
        <v/>
      </c>
      <c r="S32" s="43" t="n"/>
      <c r="T32" s="43" t="n"/>
    </row>
    <row r="33" ht="15" customHeight="1" s="35">
      <c r="A33" s="42" t="inlineStr">
        <is>
          <t>LIT-010</t>
        </is>
      </c>
      <c r="B33" s="43" t="n"/>
      <c r="C33" s="43" t="n"/>
      <c r="D33" s="44" t="n"/>
      <c r="E33" s="45" t="inlineStr">
        <is>
          <t>조명(LIT)</t>
        </is>
      </c>
      <c r="F33" s="45" t="inlineStr">
        <is>
          <t>순간광 조명</t>
        </is>
      </c>
      <c r="G33" s="45" t="inlineStr">
        <is>
          <t>고독스 V1</t>
        </is>
      </c>
      <c r="H33" s="42" t="inlineStr">
        <is>
          <t>Godox</t>
        </is>
      </c>
      <c r="I33" s="42" t="inlineStr">
        <is>
          <t>V1</t>
        </is>
      </c>
      <c r="J33" s="43" t="n"/>
      <c r="K33" s="45" t="inlineStr">
        <is>
          <t>정상</t>
        </is>
      </c>
      <c r="L33" s="43" t="n"/>
      <c r="M33" s="46" t="n"/>
      <c r="N33" s="43" t="n"/>
      <c r="O33" s="47" t="n"/>
      <c r="P33" s="46" t="n"/>
      <c r="Q33" s="43" t="n"/>
      <c r="R33" s="48">
        <f t="array" ref="R33:R33">IF(AND(ISNUMBER(P33),ISNUMBER(Q33)),EDATE((TRUE()+(0*7+IF(P33&gt;60,P33-1,P33))),Q33),"")</f>
        <v/>
      </c>
      <c r="S33" s="43" t="n"/>
      <c r="T33" s="43" t="n"/>
    </row>
    <row r="34" ht="15" customHeight="1" s="35">
      <c r="A34" s="42" t="inlineStr">
        <is>
          <t>MOD-001</t>
        </is>
      </c>
      <c r="B34" s="43" t="n"/>
      <c r="C34" s="43" t="n"/>
      <c r="D34" s="44" t="n"/>
      <c r="E34" s="45" t="inlineStr">
        <is>
          <t>조명 모디파이어(MOD)</t>
        </is>
      </c>
      <c r="F34" s="45" t="inlineStr">
        <is>
          <t>악세사리</t>
        </is>
      </c>
      <c r="G34" s="42" t="inlineStr">
        <is>
          <t>Softbox 60b</t>
        </is>
      </c>
      <c r="H34" s="42" t="inlineStr">
        <is>
          <t>NANLITE</t>
        </is>
      </c>
      <c r="I34" s="42" t="inlineStr">
        <is>
          <t>60b</t>
        </is>
      </c>
      <c r="J34" s="43" t="n"/>
      <c r="K34" s="45" t="inlineStr">
        <is>
          <t>정상</t>
        </is>
      </c>
      <c r="L34" s="43" t="n"/>
      <c r="M34" s="46" t="n"/>
      <c r="N34" s="43" t="n"/>
      <c r="O34" s="47" t="n"/>
      <c r="P34" s="46" t="n"/>
      <c r="Q34" s="43" t="n"/>
      <c r="R34" s="48">
        <f t="array" ref="R34:R34">IF(AND(ISNUMBER(P34),ISNUMBER(Q34)),EDATE((TRUE()+(0*7+IF(P34&gt;60,P34-1,P34))),Q34),"")</f>
        <v/>
      </c>
      <c r="S34" s="43" t="n"/>
      <c r="T34" s="43" t="n"/>
    </row>
    <row r="35" ht="15" customHeight="1" s="35">
      <c r="A35" s="42" t="inlineStr">
        <is>
          <t>MOD-002</t>
        </is>
      </c>
      <c r="B35" s="43" t="n"/>
      <c r="C35" s="43" t="n"/>
      <c r="D35" s="44" t="n"/>
      <c r="E35" s="45" t="inlineStr">
        <is>
          <t>조명 모디파이어(MOD)</t>
        </is>
      </c>
      <c r="F35" s="45" t="inlineStr">
        <is>
          <t>악세사리</t>
        </is>
      </c>
      <c r="G35" s="42" t="inlineStr">
        <is>
          <t>Softbox 500</t>
        </is>
      </c>
      <c r="H35" s="42" t="inlineStr">
        <is>
          <t>NANLITE</t>
        </is>
      </c>
      <c r="I35" s="42" t="inlineStr">
        <is>
          <t>500</t>
        </is>
      </c>
      <c r="J35" s="43" t="n"/>
      <c r="K35" s="45" t="inlineStr">
        <is>
          <t>정상</t>
        </is>
      </c>
      <c r="L35" s="43" t="n"/>
      <c r="M35" s="46" t="n"/>
      <c r="N35" s="43" t="n"/>
      <c r="O35" s="47" t="n"/>
      <c r="P35" s="46" t="n"/>
      <c r="Q35" s="43" t="n"/>
      <c r="R35" s="48">
        <f t="array" ref="R35:R35">IF(AND(ISNUMBER(P35),ISNUMBER(Q35)),EDATE((TRUE()+(0*7+IF(P35&gt;60,P35-1,P35))),Q35),"")</f>
        <v/>
      </c>
      <c r="S35" s="43" t="n"/>
      <c r="T35" s="43" t="n"/>
    </row>
    <row r="36" ht="15" customHeight="1" s="35">
      <c r="A36" s="42" t="inlineStr">
        <is>
          <t>MOD-003</t>
        </is>
      </c>
      <c r="B36" s="43" t="n"/>
      <c r="C36" s="43" t="n"/>
      <c r="D36" s="44" t="n"/>
      <c r="E36" s="45" t="inlineStr">
        <is>
          <t>조명 모디파이어(MOD)</t>
        </is>
      </c>
      <c r="F36" s="45" t="inlineStr">
        <is>
          <t>악세사리</t>
        </is>
      </c>
      <c r="G36" s="42" t="inlineStr">
        <is>
          <t>Forza 500  500 JEMBALL</t>
        </is>
      </c>
      <c r="H36" s="42" t="inlineStr">
        <is>
          <t>NANLITE</t>
        </is>
      </c>
      <c r="I36" s="45" t="inlineStr">
        <is>
          <t>젬볼</t>
        </is>
      </c>
      <c r="J36" s="43" t="n"/>
      <c r="K36" s="45" t="inlineStr">
        <is>
          <t>정상</t>
        </is>
      </c>
      <c r="L36" s="43" t="n"/>
      <c r="M36" s="46" t="n"/>
      <c r="N36" s="43" t="n"/>
      <c r="O36" s="47" t="n"/>
      <c r="P36" s="46" t="n"/>
      <c r="Q36" s="43" t="n"/>
      <c r="R36" s="48">
        <f t="array" ref="R36:R36">IF(AND(ISNUMBER(P36),ISNUMBER(Q36)),EDATE((TRUE()+(0*7+IF(P36&gt;60,P36-1,P36))),Q36),"")</f>
        <v/>
      </c>
      <c r="S36" s="43" t="n"/>
      <c r="T36" s="43" t="n"/>
    </row>
    <row r="37" ht="15" customHeight="1" s="35">
      <c r="A37" s="42" t="inlineStr">
        <is>
          <t>MOD-004</t>
        </is>
      </c>
      <c r="B37" s="50" t="inlineStr">
        <is>
          <t>어테치먼트</t>
        </is>
      </c>
      <c r="C37" s="43" t="n"/>
      <c r="D37" s="44" t="n"/>
      <c r="E37" s="45" t="inlineStr">
        <is>
          <t>조명 모디파이어(MOD)</t>
        </is>
      </c>
      <c r="F37" s="45" t="inlineStr">
        <is>
          <t>악세사리</t>
        </is>
      </c>
      <c r="G37" s="42" t="inlineStr">
        <is>
          <t>60B 프로젝션 어테치먼트</t>
        </is>
      </c>
      <c r="H37" s="42" t="inlineStr">
        <is>
          <t>NANLITE</t>
        </is>
      </c>
      <c r="I37" s="45" t="inlineStr">
        <is>
          <t>프로젝션 어테치먼트</t>
        </is>
      </c>
      <c r="J37" s="43" t="n"/>
      <c r="K37" s="45" t="inlineStr">
        <is>
          <t>정상</t>
        </is>
      </c>
      <c r="L37" s="43" t="n"/>
      <c r="M37" s="46" t="n"/>
      <c r="N37" s="43" t="n"/>
      <c r="O37" s="47" t="n"/>
      <c r="P37" s="46" t="n"/>
      <c r="Q37" s="43" t="n"/>
      <c r="R37" s="48">
        <f t="array" ref="R37:R37">IF(AND(ISNUMBER(P37),ISNUMBER(Q37)),EDATE((TRUE()+(0*7+IF(P37&gt;60,P37-1,P37))),Q37),"")</f>
        <v/>
      </c>
      <c r="S37" s="43" t="n"/>
      <c r="T37" s="43" t="n"/>
    </row>
    <row r="38" ht="15" customHeight="1" s="35">
      <c r="A38" s="42" t="inlineStr">
        <is>
          <t>MOD-005</t>
        </is>
      </c>
      <c r="B38" s="50" t="inlineStr">
        <is>
          <t>프레넬</t>
        </is>
      </c>
      <c r="C38" s="43" t="n"/>
      <c r="D38" s="44" t="n"/>
      <c r="E38" s="45" t="inlineStr">
        <is>
          <t>조명 모디파이어(MOD)</t>
        </is>
      </c>
      <c r="F38" s="45" t="inlineStr">
        <is>
          <t>악세사리</t>
        </is>
      </c>
      <c r="G38" s="42" t="inlineStr">
        <is>
          <t>60B 프레넬 렌즈</t>
        </is>
      </c>
      <c r="H38" s="42" t="inlineStr">
        <is>
          <t>NANLITE</t>
        </is>
      </c>
      <c r="I38" s="45" t="inlineStr">
        <is>
          <t>프레넬 렌즈</t>
        </is>
      </c>
      <c r="J38" s="43" t="n"/>
      <c r="K38" s="45" t="inlineStr">
        <is>
          <t>정상</t>
        </is>
      </c>
      <c r="L38" s="43" t="n"/>
      <c r="M38" s="46" t="n"/>
      <c r="N38" s="43" t="n"/>
      <c r="O38" s="47" t="n"/>
      <c r="P38" s="46" t="n"/>
      <c r="Q38" s="43" t="n"/>
      <c r="R38" s="48">
        <f t="array" ref="R38:R38">IF(AND(ISNUMBER(P38),ISNUMBER(Q38)),EDATE((TRUE()+(0*7+IF(P38&gt;60,P38-1,P38))),Q38),"")</f>
        <v/>
      </c>
      <c r="S38" s="43" t="n"/>
      <c r="T38" s="43" t="n"/>
    </row>
    <row r="39" ht="15" customHeight="1" s="35">
      <c r="A39" s="49" t="inlineStr">
        <is>
          <t>MOD-007</t>
        </is>
      </c>
      <c r="B39" s="43" t="n"/>
      <c r="C39" s="43" t="n"/>
      <c r="D39" s="44" t="n"/>
      <c r="E39" s="45" t="inlineStr">
        <is>
          <t>조명 모디파이어(MOD)</t>
        </is>
      </c>
      <c r="F39" s="45" t="inlineStr">
        <is>
          <t>악세사리</t>
        </is>
      </c>
      <c r="G39" s="50" t="inlineStr">
        <is>
          <t>디퓨저 750 x 900</t>
        </is>
      </c>
      <c r="H39" s="49" t="n"/>
      <c r="I39" s="45" t="inlineStr">
        <is>
          <t xml:space="preserve">디퓨저 </t>
        </is>
      </c>
      <c r="J39" s="43" t="n"/>
      <c r="K39" s="45" t="inlineStr">
        <is>
          <t>정상</t>
        </is>
      </c>
      <c r="L39" s="43" t="n"/>
      <c r="M39" s="46" t="n"/>
      <c r="N39" s="43" t="n"/>
      <c r="O39" s="47" t="n"/>
      <c r="P39" s="46" t="n"/>
      <c r="Q39" s="43" t="n"/>
      <c r="R39" s="48">
        <f t="array" ref="R39:R39">IF(AND(ISNUMBER(P39),ISNUMBER(Q39)),EDATE((TRUE()+(0*7+IF(P39&gt;60,P39-1,P39))),Q39),"")</f>
        <v/>
      </c>
      <c r="S39" s="43" t="n"/>
      <c r="T39" s="43" t="n"/>
    </row>
    <row r="40" ht="15" customHeight="1" s="35">
      <c r="A40" s="49" t="inlineStr">
        <is>
          <t>MOD-008</t>
        </is>
      </c>
      <c r="B40" s="43" t="n"/>
      <c r="C40" s="43" t="n"/>
      <c r="D40" s="44" t="n"/>
      <c r="E40" s="45" t="inlineStr">
        <is>
          <t>조명 모디파이어(MOD)</t>
        </is>
      </c>
      <c r="F40" s="45" t="inlineStr">
        <is>
          <t>악세사리</t>
        </is>
      </c>
      <c r="G40" s="42" t="inlineStr">
        <is>
          <t xml:space="preserve">PavoTube Softbox </t>
        </is>
      </c>
      <c r="H40" s="42" t="inlineStr">
        <is>
          <t>NANLITE</t>
        </is>
      </c>
      <c r="I40" s="42" t="inlineStr">
        <is>
          <t>PavoTube Softbox</t>
        </is>
      </c>
      <c r="J40" s="43" t="n"/>
      <c r="K40" s="45" t="inlineStr">
        <is>
          <t>정상</t>
        </is>
      </c>
      <c r="L40" s="43" t="n"/>
      <c r="M40" s="46" t="n"/>
      <c r="N40" s="43" t="n"/>
      <c r="O40" s="47" t="n"/>
      <c r="P40" s="46" t="n"/>
      <c r="Q40" s="43" t="n"/>
      <c r="R40" s="48">
        <f t="array" ref="R40:R40">IF(AND(ISNUMBER(P40),ISNUMBER(Q40)),EDATE((TRUE()+(0*7+IF(P40&gt;60,P40-1,P40))),Q40),"")</f>
        <v/>
      </c>
      <c r="S40" s="43" t="n"/>
      <c r="T40" s="43" t="n"/>
    </row>
    <row r="41" ht="15" customHeight="1" s="35">
      <c r="A41" s="49" t="inlineStr">
        <is>
          <t>MOD-009</t>
        </is>
      </c>
      <c r="B41" s="43" t="n"/>
      <c r="C41" s="43" t="n"/>
      <c r="D41" s="44" t="n"/>
      <c r="E41" s="45" t="inlineStr">
        <is>
          <t>조명 모디파이어(MOD)</t>
        </is>
      </c>
      <c r="F41" s="45" t="inlineStr">
        <is>
          <t>악세사리</t>
        </is>
      </c>
      <c r="G41" s="50" t="inlineStr">
        <is>
          <t>모듈형 프레임 원단 디퓨저 꼬리 플랙</t>
        </is>
      </c>
      <c r="H41" s="42" t="inlineStr">
        <is>
          <t>Aurora</t>
        </is>
      </c>
      <c r="I41" s="45" t="inlineStr">
        <is>
          <t>플랙</t>
        </is>
      </c>
      <c r="J41" s="43" t="n"/>
      <c r="K41" s="45" t="inlineStr">
        <is>
          <t>정상</t>
        </is>
      </c>
      <c r="L41" s="43" t="n"/>
      <c r="M41" s="46" t="n"/>
      <c r="N41" s="43" t="n"/>
      <c r="O41" s="47" t="n"/>
      <c r="P41" s="46" t="n"/>
      <c r="Q41" s="43" t="n"/>
      <c r="R41" s="48">
        <f t="array" ref="R41:R41">IF(AND(ISNUMBER(P41),ISNUMBER(Q41)),EDATE((TRUE()+(0*7+IF(P41&gt;60,P41-1,P41))),Q41),"")</f>
        <v/>
      </c>
      <c r="S41" s="43" t="n"/>
      <c r="T41" s="43" t="n"/>
    </row>
    <row r="42" ht="15" customHeight="1" s="35">
      <c r="A42" s="42" t="inlineStr">
        <is>
          <t>MON-001</t>
        </is>
      </c>
      <c r="B42" s="42" t="inlineStr">
        <is>
          <t>SUMO</t>
        </is>
      </c>
      <c r="C42" s="43" t="n"/>
      <c r="D42" s="44" t="n"/>
      <c r="E42" s="45" t="inlineStr">
        <is>
          <t>외장 모니터(MON)</t>
        </is>
      </c>
      <c r="F42" s="45" t="inlineStr">
        <is>
          <t>필드모니터</t>
        </is>
      </c>
      <c r="G42" s="42" t="inlineStr">
        <is>
          <t>SUMO 19인치</t>
        </is>
      </c>
      <c r="H42" s="42" t="inlineStr">
        <is>
          <t>Atomos</t>
        </is>
      </c>
      <c r="I42" s="42" t="inlineStr">
        <is>
          <t>SUMO</t>
        </is>
      </c>
      <c r="J42" s="43" t="n"/>
      <c r="K42" s="45" t="inlineStr">
        <is>
          <t>정상</t>
        </is>
      </c>
      <c r="L42" s="43" t="n"/>
      <c r="M42" s="46" t="n"/>
      <c r="N42" s="43" t="n"/>
      <c r="O42" s="47" t="n"/>
      <c r="P42" s="46" t="n"/>
      <c r="Q42" s="43" t="n"/>
      <c r="R42" s="48">
        <f t="array" ref="R42:R42">IF(AND(ISNUMBER(P42),ISNUMBER(Q42)),EDATE((TRUE()+(0*7+IF(P42&gt;60,P42-1,P42))),Q42),"")</f>
        <v/>
      </c>
      <c r="S42" s="43" t="n"/>
      <c r="T42" s="43" t="n"/>
    </row>
    <row r="43" ht="15" customHeight="1" s="35">
      <c r="A43" s="42" t="inlineStr">
        <is>
          <t>MON-002</t>
        </is>
      </c>
      <c r="B43" s="43" t="n"/>
      <c r="C43" s="43" t="n"/>
      <c r="D43" s="44" t="n"/>
      <c r="E43" s="45" t="inlineStr">
        <is>
          <t>외장 모니터(MON)</t>
        </is>
      </c>
      <c r="F43" s="45" t="inlineStr">
        <is>
          <t>필드모니터</t>
        </is>
      </c>
      <c r="G43" s="42" t="inlineStr">
        <is>
          <t>HOLLYLAND MARS M1 5.5in</t>
        </is>
      </c>
      <c r="H43" s="42" t="inlineStr">
        <is>
          <t>HOLLYLAND</t>
        </is>
      </c>
      <c r="I43" s="42" t="inlineStr">
        <is>
          <t>MARS M1 5.5in</t>
        </is>
      </c>
      <c r="J43" s="43" t="n"/>
      <c r="K43" s="45" t="inlineStr">
        <is>
          <t>정상</t>
        </is>
      </c>
      <c r="L43" s="43" t="n"/>
      <c r="M43" s="46" t="n"/>
      <c r="N43" s="43" t="n"/>
      <c r="O43" s="47" t="n"/>
      <c r="P43" s="46" t="n"/>
      <c r="Q43" s="43" t="n"/>
      <c r="R43" s="48">
        <f t="array" ref="R43:R43">IF(AND(ISNUMBER(P43),ISNUMBER(Q43)),EDATE((TRUE()+(0*7+IF(P43&gt;60,P43-1,P43))),Q43),"")</f>
        <v/>
      </c>
      <c r="S43" s="43" t="n"/>
      <c r="T43" s="43" t="n"/>
    </row>
    <row r="44" ht="15" customHeight="1" s="35">
      <c r="A44" s="42" t="inlineStr">
        <is>
          <t>STD-A-001</t>
        </is>
      </c>
      <c r="B44" s="43" t="n"/>
      <c r="C44" s="43" t="n"/>
      <c r="D44" s="44" t="n"/>
      <c r="E44" s="45" t="inlineStr">
        <is>
          <t>스탠드(STD)</t>
        </is>
      </c>
      <c r="F44" s="42" t="inlineStr">
        <is>
          <t>A 스탠드</t>
        </is>
      </c>
      <c r="G44" s="42" t="inlineStr">
        <is>
          <t>A 스탠드</t>
        </is>
      </c>
      <c r="H44" s="43" t="n"/>
      <c r="I44" s="43" t="n"/>
      <c r="J44" s="43" t="n"/>
      <c r="K44" s="45" t="inlineStr">
        <is>
          <t>정상</t>
        </is>
      </c>
      <c r="L44" s="43" t="n"/>
      <c r="M44" s="46" t="n"/>
      <c r="N44" s="43" t="n"/>
      <c r="O44" s="47" t="n"/>
      <c r="P44" s="46" t="n"/>
      <c r="Q44" s="43" t="n"/>
      <c r="R44" s="48">
        <f t="array" ref="R44:R44">IF(AND(ISNUMBER(P44),ISNUMBER(Q44)),EDATE((TRUE()+(0*7+IF(P44&gt;60,P44-1,P44))),Q44),"")</f>
        <v/>
      </c>
      <c r="S44" s="43" t="n"/>
      <c r="T44" s="43" t="n"/>
    </row>
    <row r="45" ht="15" customHeight="1" s="35">
      <c r="A45" s="42" t="inlineStr">
        <is>
          <t>STD-A-002</t>
        </is>
      </c>
      <c r="B45" s="43" t="n"/>
      <c r="C45" s="43" t="n"/>
      <c r="D45" s="44" t="n"/>
      <c r="E45" s="45" t="inlineStr">
        <is>
          <t>스탠드(STD)</t>
        </is>
      </c>
      <c r="F45" s="42" t="inlineStr">
        <is>
          <t>A 스탠드</t>
        </is>
      </c>
      <c r="G45" s="42" t="inlineStr">
        <is>
          <t>A 스탠드</t>
        </is>
      </c>
      <c r="H45" s="43" t="n"/>
      <c r="I45" s="43" t="n"/>
      <c r="J45" s="43" t="n"/>
      <c r="K45" s="45" t="inlineStr">
        <is>
          <t>정상</t>
        </is>
      </c>
      <c r="L45" s="43" t="n"/>
      <c r="M45" s="46" t="n"/>
      <c r="N45" s="43" t="n"/>
      <c r="O45" s="47" t="n"/>
      <c r="P45" s="46" t="n"/>
      <c r="Q45" s="43" t="n"/>
      <c r="R45" s="48">
        <f t="array" ref="R45:R45">IF(AND(ISNUMBER(P45),ISNUMBER(Q45)),EDATE((TRUE()+(0*7+IF(P45&gt;60,P45-1,P45))),Q45),"")</f>
        <v/>
      </c>
      <c r="S45" s="43" t="n"/>
      <c r="T45" s="43" t="n"/>
    </row>
    <row r="46" ht="15" customHeight="1" s="35">
      <c r="A46" s="42" t="inlineStr">
        <is>
          <t>STD-A-003</t>
        </is>
      </c>
      <c r="B46" s="43" t="n"/>
      <c r="C46" s="43" t="n"/>
      <c r="D46" s="44" t="n"/>
      <c r="E46" s="45" t="inlineStr">
        <is>
          <t>스탠드(STD)</t>
        </is>
      </c>
      <c r="F46" s="42" t="inlineStr">
        <is>
          <t>A 스탠드</t>
        </is>
      </c>
      <c r="G46" s="42" t="inlineStr">
        <is>
          <t>A 스탠드</t>
        </is>
      </c>
      <c r="H46" s="43" t="n"/>
      <c r="I46" s="43" t="n"/>
      <c r="J46" s="43" t="n"/>
      <c r="K46" s="45" t="inlineStr">
        <is>
          <t>정상</t>
        </is>
      </c>
      <c r="L46" s="43" t="n"/>
      <c r="M46" s="46" t="n"/>
      <c r="N46" s="43" t="n"/>
      <c r="O46" s="47" t="n"/>
      <c r="P46" s="46" t="n"/>
      <c r="Q46" s="43" t="n"/>
      <c r="R46" s="48">
        <f t="array" ref="R46:R46">IF(AND(ISNUMBER(P46),ISNUMBER(Q46)),EDATE((TRUE()+(0*7+IF(P46&gt;60,P46-1,P46))),Q46),"")</f>
        <v/>
      </c>
      <c r="S46" s="43" t="n"/>
      <c r="T46" s="43" t="n"/>
    </row>
    <row r="47" ht="15" customHeight="1" s="35">
      <c r="A47" s="42" t="inlineStr">
        <is>
          <t>STD-A-004</t>
        </is>
      </c>
      <c r="B47" s="43" t="n"/>
      <c r="C47" s="43" t="n"/>
      <c r="D47" s="44" t="n"/>
      <c r="E47" s="45" t="inlineStr">
        <is>
          <t>스탠드(STD)</t>
        </is>
      </c>
      <c r="F47" s="42" t="inlineStr">
        <is>
          <t>A 스탠드</t>
        </is>
      </c>
      <c r="G47" s="42" t="inlineStr">
        <is>
          <t>A 스탠드</t>
        </is>
      </c>
      <c r="H47" s="43" t="n"/>
      <c r="I47" s="43" t="n"/>
      <c r="J47" s="43" t="n"/>
      <c r="K47" s="45" t="inlineStr">
        <is>
          <t>정상</t>
        </is>
      </c>
      <c r="L47" s="43" t="n"/>
      <c r="M47" s="46" t="n"/>
      <c r="N47" s="43" t="n"/>
      <c r="O47" s="47" t="n"/>
      <c r="P47" s="46" t="n"/>
      <c r="Q47" s="43" t="n"/>
      <c r="R47" s="48">
        <f t="array" ref="R47:R47">IF(AND(ISNUMBER(P47),ISNUMBER(Q47)),EDATE((TRUE()+(0*7+IF(P47&gt;60,P47-1,P47))),Q47),"")</f>
        <v/>
      </c>
      <c r="S47" s="43" t="n"/>
      <c r="T47" s="43" t="n"/>
    </row>
    <row r="48" ht="15" customHeight="1" s="35">
      <c r="A48" s="42" t="inlineStr">
        <is>
          <t>STD-T-001</t>
        </is>
      </c>
      <c r="B48" s="43" t="n"/>
      <c r="C48" s="43" t="n"/>
      <c r="D48" s="44" t="n"/>
      <c r="E48" s="45" t="inlineStr">
        <is>
          <t>스탠드(STD)</t>
        </is>
      </c>
      <c r="F48" s="42" t="inlineStr">
        <is>
          <t>T 스탠드</t>
        </is>
      </c>
      <c r="G48" s="42" t="inlineStr">
        <is>
          <t>T 스탠드</t>
        </is>
      </c>
      <c r="H48" s="43" t="n"/>
      <c r="I48" s="43" t="n"/>
      <c r="J48" s="43" t="n"/>
      <c r="K48" s="45" t="inlineStr">
        <is>
          <t>정상</t>
        </is>
      </c>
      <c r="L48" s="43" t="n"/>
      <c r="M48" s="46" t="n"/>
      <c r="N48" s="43" t="n"/>
      <c r="O48" s="47" t="n"/>
      <c r="P48" s="46" t="n"/>
      <c r="Q48" s="43" t="n"/>
      <c r="R48" s="48">
        <f t="array" ref="R48:R48">IF(AND(ISNUMBER(P48),ISNUMBER(Q48)),EDATE((TRUE()+(0*7+IF(P48&gt;60,P48-1,P48))),Q48),"")</f>
        <v/>
      </c>
      <c r="S48" s="43" t="n"/>
      <c r="T48" s="43" t="n"/>
    </row>
    <row r="49" ht="15" customHeight="1" s="35">
      <c r="A49" s="42" t="inlineStr">
        <is>
          <t>STD-C-001</t>
        </is>
      </c>
      <c r="B49" s="43" t="n"/>
      <c r="C49" s="43" t="n"/>
      <c r="D49" s="44" t="n"/>
      <c r="E49" s="45" t="inlineStr">
        <is>
          <t>스탠드(STD)</t>
        </is>
      </c>
      <c r="F49" s="42" t="inlineStr">
        <is>
          <t>C 스탠드</t>
        </is>
      </c>
      <c r="G49" s="42" t="inlineStr">
        <is>
          <t>C 스탠드</t>
        </is>
      </c>
      <c r="H49" s="43" t="n"/>
      <c r="I49" s="43" t="n"/>
      <c r="J49" s="43" t="n"/>
      <c r="K49" s="45" t="inlineStr">
        <is>
          <t>정상</t>
        </is>
      </c>
      <c r="L49" s="43" t="n"/>
      <c r="M49" s="46" t="n"/>
      <c r="N49" s="43" t="n"/>
      <c r="O49" s="47" t="n"/>
      <c r="P49" s="46" t="n"/>
      <c r="Q49" s="43" t="n"/>
      <c r="R49" s="48">
        <f t="array" ref="R49:R49">IF(AND(ISNUMBER(P49),ISNUMBER(Q49)),EDATE((TRUE()+(0*7+IF(P49&gt;60,P49-1,P49))),Q49),"")</f>
        <v/>
      </c>
      <c r="S49" s="43" t="n"/>
      <c r="T49" s="43" t="n"/>
    </row>
    <row r="50" ht="15" customHeight="1" s="35">
      <c r="A50" s="42" t="inlineStr">
        <is>
          <t>STD-C-002</t>
        </is>
      </c>
      <c r="B50" s="43" t="n"/>
      <c r="C50" s="43" t="n"/>
      <c r="D50" s="44" t="n"/>
      <c r="E50" s="45" t="inlineStr">
        <is>
          <t>스탠드(STD)</t>
        </is>
      </c>
      <c r="F50" s="42" t="inlineStr">
        <is>
          <t>C 스탠드</t>
        </is>
      </c>
      <c r="G50" s="42" t="inlineStr">
        <is>
          <t>C 스탠드</t>
        </is>
      </c>
      <c r="H50" s="43" t="n"/>
      <c r="I50" s="43" t="n"/>
      <c r="J50" s="43" t="n"/>
      <c r="K50" s="45" t="inlineStr">
        <is>
          <t>정상</t>
        </is>
      </c>
      <c r="L50" s="43" t="n"/>
      <c r="M50" s="46" t="n"/>
      <c r="N50" s="43" t="n"/>
      <c r="O50" s="47" t="n"/>
      <c r="P50" s="46" t="n"/>
      <c r="Q50" s="43" t="n"/>
      <c r="R50" s="48">
        <f t="array" ref="R50:R50">IF(AND(ISNUMBER(P50),ISNUMBER(Q50)),EDATE((TRUE()+(0*7+IF(P50&gt;60,P50-1,P50))),Q50),"")</f>
        <v/>
      </c>
      <c r="S50" s="43" t="n"/>
      <c r="T50" s="43" t="n"/>
    </row>
    <row r="51" ht="15" customHeight="1" s="35">
      <c r="A51" s="42" t="inlineStr">
        <is>
          <t>STD-C-003</t>
        </is>
      </c>
      <c r="B51" s="43" t="n"/>
      <c r="C51" s="43" t="n"/>
      <c r="D51" s="44" t="n"/>
      <c r="E51" s="45" t="inlineStr">
        <is>
          <t>스탠드(STD)</t>
        </is>
      </c>
      <c r="F51" s="42" t="inlineStr">
        <is>
          <t>C 스탠드</t>
        </is>
      </c>
      <c r="G51" s="42" t="inlineStr">
        <is>
          <t>C 스탠드</t>
        </is>
      </c>
      <c r="H51" s="43" t="n"/>
      <c r="I51" s="43" t="n"/>
      <c r="J51" s="43" t="n"/>
      <c r="K51" s="45" t="inlineStr">
        <is>
          <t>정상</t>
        </is>
      </c>
      <c r="L51" s="43" t="n"/>
      <c r="M51" s="46" t="n"/>
      <c r="N51" s="43" t="n"/>
      <c r="O51" s="47" t="n"/>
      <c r="P51" s="46" t="n"/>
      <c r="Q51" s="43" t="n"/>
      <c r="R51" s="48">
        <f t="array" ref="R51:R51">IF(AND(ISNUMBER(P51),ISNUMBER(Q51)),EDATE((TRUE()+(0*7+IF(P51&gt;60,P51-1,P51))),Q51),"")</f>
        <v/>
      </c>
      <c r="S51" s="43" t="n"/>
      <c r="T51" s="43" t="n"/>
    </row>
    <row r="52" ht="15" customHeight="1" s="35">
      <c r="A52" s="42" t="inlineStr">
        <is>
          <t>STD-AS-001</t>
        </is>
      </c>
      <c r="B52" s="43" t="n"/>
      <c r="C52" s="43" t="n"/>
      <c r="D52" s="44" t="n"/>
      <c r="E52" s="45" t="inlineStr">
        <is>
          <t>스탠드(STD)</t>
        </is>
      </c>
      <c r="F52" s="45" t="inlineStr">
        <is>
          <t>작은 A 스탠드</t>
        </is>
      </c>
      <c r="G52" s="45" t="inlineStr">
        <is>
          <t>작은 A 스탠드</t>
        </is>
      </c>
      <c r="H52" s="43" t="n"/>
      <c r="I52" s="43" t="n"/>
      <c r="J52" s="43" t="n"/>
      <c r="K52" s="45" t="inlineStr">
        <is>
          <t>정상</t>
        </is>
      </c>
      <c r="L52" s="43" t="n"/>
      <c r="M52" s="46" t="n"/>
      <c r="N52" s="43" t="n"/>
      <c r="O52" s="47" t="n"/>
      <c r="P52" s="46" t="n"/>
      <c r="Q52" s="43" t="n"/>
      <c r="R52" s="48">
        <f t="array" ref="R52:R52">IF(AND(ISNUMBER(P52),ISNUMBER(Q52)),EDATE((TRUE()+(0*7+IF(P52&gt;60,P52-1,P52))),Q52),"")</f>
        <v/>
      </c>
      <c r="S52" s="43" t="n"/>
      <c r="T52" s="43" t="n"/>
    </row>
    <row r="53" ht="15" customHeight="1" s="35">
      <c r="A53" s="42" t="inlineStr">
        <is>
          <t>STD-AS-002</t>
        </is>
      </c>
      <c r="B53" s="43" t="n"/>
      <c r="C53" s="43" t="n"/>
      <c r="D53" s="44" t="n"/>
      <c r="E53" s="45" t="inlineStr">
        <is>
          <t>스탠드(STD)</t>
        </is>
      </c>
      <c r="F53" s="45" t="inlineStr">
        <is>
          <t>작은 A 스탠드</t>
        </is>
      </c>
      <c r="G53" s="45" t="inlineStr">
        <is>
          <t>작은 A 스탠드</t>
        </is>
      </c>
      <c r="H53" s="43" t="n"/>
      <c r="I53" s="43" t="n"/>
      <c r="J53" s="43" t="n"/>
      <c r="K53" s="45" t="inlineStr">
        <is>
          <t>정상</t>
        </is>
      </c>
      <c r="L53" s="43" t="n"/>
      <c r="M53" s="46" t="n"/>
      <c r="N53" s="43" t="n"/>
      <c r="O53" s="47" t="n"/>
      <c r="P53" s="46" t="n"/>
      <c r="Q53" s="43" t="n"/>
      <c r="R53" s="48">
        <f t="array" ref="R53:R53">IF(AND(ISNUMBER(P53),ISNUMBER(Q53)),EDATE((TRUE()+(0*7+IF(P53&gt;60,P53-1,P53))),Q53),"")</f>
        <v/>
      </c>
      <c r="S53" s="43" t="n"/>
      <c r="T53" s="43" t="n"/>
    </row>
    <row r="54" ht="15" customHeight="1" s="35">
      <c r="A54" s="49" t="inlineStr">
        <is>
          <t>ACC-006</t>
        </is>
      </c>
      <c r="B54" s="43" t="n"/>
      <c r="C54" s="43" t="n"/>
      <c r="D54" s="44" t="n"/>
      <c r="E54" s="50" t="inlineStr">
        <is>
          <t>액세서리(ACC)</t>
        </is>
      </c>
      <c r="F54" s="45" t="inlineStr">
        <is>
          <t>작은 A 스탠드</t>
        </is>
      </c>
      <c r="G54" s="45" t="inlineStr">
        <is>
          <t>작은 A 스탠드 연결 봉</t>
        </is>
      </c>
      <c r="H54" s="43" t="n"/>
      <c r="I54" s="43" t="n"/>
      <c r="J54" s="43" t="n"/>
      <c r="K54" s="45" t="inlineStr">
        <is>
          <t>정상</t>
        </is>
      </c>
      <c r="L54" s="43" t="n"/>
      <c r="M54" s="46" t="n"/>
      <c r="N54" s="43" t="n"/>
      <c r="O54" s="47" t="n"/>
      <c r="P54" s="46" t="n"/>
      <c r="Q54" s="43" t="n"/>
      <c r="R54" s="48">
        <f t="array" ref="R54:R54">IF(AND(ISNUMBER(P54),ISNUMBER(Q54)),EDATE((TRUE()+(0*7+IF(P54&gt;60,P54-1,P54))),Q54),"")</f>
        <v/>
      </c>
      <c r="S54" s="43" t="n"/>
      <c r="T54" s="51" t="inlineStr">
        <is>
          <t>스탠드 부속품은 ACC로 분류 (STD→ACC)</t>
        </is>
      </c>
    </row>
    <row r="55" ht="15" customHeight="1" s="35">
      <c r="A55" s="42" t="inlineStr">
        <is>
          <t>ACC-001</t>
        </is>
      </c>
      <c r="B55" s="43" t="n"/>
      <c r="C55" s="43" t="n"/>
      <c r="D55" s="44" t="n"/>
      <c r="E55" s="45" t="inlineStr">
        <is>
          <t>액세서리(ACC)</t>
        </is>
      </c>
      <c r="F55" s="45" t="inlineStr">
        <is>
          <t>악세사리</t>
        </is>
      </c>
      <c r="G55" s="45" t="inlineStr">
        <is>
          <t>그립헤드, 암 세트</t>
        </is>
      </c>
      <c r="H55" s="52" t="n"/>
      <c r="I55" s="52" t="n"/>
      <c r="J55" s="43" t="n"/>
      <c r="K55" s="45" t="inlineStr">
        <is>
          <t>정상</t>
        </is>
      </c>
      <c r="L55" s="43" t="n"/>
      <c r="M55" s="46" t="n"/>
      <c r="N55" s="43" t="n"/>
      <c r="O55" s="47" t="n"/>
      <c r="P55" s="46" t="n"/>
      <c r="Q55" s="43" t="n"/>
      <c r="R55" s="48">
        <f t="array" ref="R55:R55">IF(AND(ISNUMBER(P55),ISNUMBER(Q55)),EDATE((TRUE()+(0*7+IF(P55&gt;60,P55-1,P55))),Q55),"")</f>
        <v/>
      </c>
      <c r="S55" s="43" t="n"/>
      <c r="T55" s="43" t="n"/>
    </row>
    <row r="56" ht="15" customHeight="1" s="35">
      <c r="A56" s="42" t="inlineStr">
        <is>
          <t>ACC-002</t>
        </is>
      </c>
      <c r="B56" s="43" t="n"/>
      <c r="C56" s="43" t="n"/>
      <c r="D56" s="44" t="n"/>
      <c r="E56" s="45" t="inlineStr">
        <is>
          <t>액세서리(ACC)</t>
        </is>
      </c>
      <c r="F56" s="45" t="inlineStr">
        <is>
          <t>악세사리</t>
        </is>
      </c>
      <c r="G56" s="45" t="inlineStr">
        <is>
          <t>그립헤드, 암 세트</t>
        </is>
      </c>
      <c r="H56" s="52" t="n"/>
      <c r="I56" s="52" t="n"/>
      <c r="J56" s="43" t="n"/>
      <c r="K56" s="45" t="inlineStr">
        <is>
          <t>정상</t>
        </is>
      </c>
      <c r="L56" s="43" t="n"/>
      <c r="M56" s="46" t="n"/>
      <c r="N56" s="43" t="n"/>
      <c r="O56" s="47" t="n"/>
      <c r="P56" s="46" t="n"/>
      <c r="Q56" s="43" t="n"/>
      <c r="R56" s="48">
        <f t="array" ref="R56:R56">IF(AND(ISNUMBER(P56),ISNUMBER(Q56)),EDATE((TRUE()+(0*7+IF(P56&gt;60,P56-1,P56))),Q56),"")</f>
        <v/>
      </c>
      <c r="S56" s="43" t="n"/>
      <c r="T56" s="43" t="n"/>
    </row>
    <row r="57" ht="15" customHeight="1" s="35">
      <c r="A57" s="42" t="inlineStr">
        <is>
          <t>ACC-003</t>
        </is>
      </c>
      <c r="B57" s="43" t="n"/>
      <c r="C57" s="43" t="n"/>
      <c r="D57" s="44" t="n"/>
      <c r="E57" s="45" t="inlineStr">
        <is>
          <t>액세서리(ACC)</t>
        </is>
      </c>
      <c r="F57" s="45" t="inlineStr">
        <is>
          <t>악세사리</t>
        </is>
      </c>
      <c r="G57" s="45" t="inlineStr">
        <is>
          <t>그립헤드, 암 세트</t>
        </is>
      </c>
      <c r="H57" s="52" t="n"/>
      <c r="I57" s="52" t="n"/>
      <c r="J57" s="43" t="n"/>
      <c r="K57" s="45" t="inlineStr">
        <is>
          <t>정상</t>
        </is>
      </c>
      <c r="L57" s="43" t="n"/>
      <c r="M57" s="46" t="n"/>
      <c r="N57" s="43" t="n"/>
      <c r="O57" s="47" t="n"/>
      <c r="P57" s="46" t="n"/>
      <c r="Q57" s="43" t="n"/>
      <c r="R57" s="48">
        <f t="array" ref="R57:R57">IF(AND(ISNUMBER(P57),ISNUMBER(Q57)),EDATE((TRUE()+(0*7+IF(P57&gt;60,P57-1,P57))),Q57),"")</f>
        <v/>
      </c>
      <c r="S57" s="43" t="n"/>
      <c r="T57" s="43" t="n"/>
    </row>
    <row r="58" ht="15" customHeight="1" s="35">
      <c r="A58" s="49" t="inlineStr">
        <is>
          <t>ACC-007</t>
        </is>
      </c>
      <c r="B58" s="43" t="n"/>
      <c r="C58" s="43" t="n"/>
      <c r="D58" s="44" t="n"/>
      <c r="E58" s="45" t="inlineStr">
        <is>
          <t>액세서리(ACC)</t>
        </is>
      </c>
      <c r="F58" s="45" t="inlineStr">
        <is>
          <t>삼각대 악세사리</t>
        </is>
      </c>
      <c r="G58" s="45" t="inlineStr">
        <is>
          <t>SmallRig Tripod Dolly</t>
        </is>
      </c>
      <c r="H58" s="45" t="inlineStr">
        <is>
          <t>SmallRig</t>
        </is>
      </c>
      <c r="I58" s="45" t="inlineStr">
        <is>
          <t>삼각대 달리</t>
        </is>
      </c>
      <c r="J58" s="43" t="n"/>
      <c r="K58" s="45" t="inlineStr">
        <is>
          <t>정상</t>
        </is>
      </c>
      <c r="L58" s="43" t="n"/>
      <c r="M58" s="46" t="n"/>
      <c r="N58" s="43" t="n"/>
      <c r="O58" s="47" t="n"/>
      <c r="P58" s="46" t="n"/>
      <c r="Q58" s="43" t="n"/>
      <c r="R58" s="48">
        <f t="array" ref="R58:R58">IF(AND(ISNUMBER(P58),ISNUMBER(Q58)),EDATE((TRUE()+(0*7+IF(P58&gt;60,P58-1,P58))),Q58),"")</f>
        <v/>
      </c>
      <c r="S58" s="43" t="n"/>
      <c r="T58" s="43" t="n"/>
    </row>
    <row r="59" ht="15" customHeight="1" s="35">
      <c r="A59" s="42" t="inlineStr">
        <is>
          <t>BAT-FZ-001</t>
        </is>
      </c>
      <c r="B59" s="43" t="n"/>
      <c r="C59" s="43" t="n"/>
      <c r="D59" s="44" t="n"/>
      <c r="E59" s="45" t="inlineStr">
        <is>
          <t>배터리(BAT)</t>
        </is>
      </c>
      <c r="F59" s="42" t="inlineStr">
        <is>
          <t>Sony</t>
        </is>
      </c>
      <c r="G59" s="42" t="inlineStr">
        <is>
          <t>Sony FZ100</t>
        </is>
      </c>
      <c r="H59" s="42" t="inlineStr">
        <is>
          <t>Sony</t>
        </is>
      </c>
      <c r="I59" s="42" t="inlineStr">
        <is>
          <t>FZ100</t>
        </is>
      </c>
      <c r="J59" s="43" t="n"/>
      <c r="K59" s="45" t="inlineStr">
        <is>
          <t>정상</t>
        </is>
      </c>
      <c r="L59" s="43" t="n"/>
      <c r="M59" s="46" t="n">
        <v>44326</v>
      </c>
      <c r="N59" s="43" t="n"/>
      <c r="O59" s="47" t="n">
        <v>165000</v>
      </c>
      <c r="P59" s="46" t="n"/>
      <c r="Q59" s="43" t="n"/>
      <c r="R59" s="48">
        <f t="array" ref="R59:R59">IF(AND(ISNUMBER(P59),ISNUMBER(Q59)),EDATE((TRUE()+(0*7+IF(P59&gt;60,P59-1,P59))),Q59),"")</f>
        <v/>
      </c>
      <c r="S59" s="43" t="n"/>
      <c r="T59" s="43" t="n"/>
    </row>
    <row r="60" ht="15" customHeight="1" s="35">
      <c r="A60" s="42" t="inlineStr">
        <is>
          <t>BAT-FZ-002</t>
        </is>
      </c>
      <c r="B60" s="43" t="n"/>
      <c r="C60" s="43" t="n"/>
      <c r="D60" s="44" t="n"/>
      <c r="E60" s="45" t="inlineStr">
        <is>
          <t>배터리(BAT)</t>
        </is>
      </c>
      <c r="F60" s="42" t="inlineStr">
        <is>
          <t>Sony</t>
        </is>
      </c>
      <c r="G60" s="42" t="inlineStr">
        <is>
          <t>Sony FZ100</t>
        </is>
      </c>
      <c r="H60" s="42" t="inlineStr">
        <is>
          <t>Sony</t>
        </is>
      </c>
      <c r="I60" s="42" t="inlineStr">
        <is>
          <t>FZ100</t>
        </is>
      </c>
      <c r="J60" s="43" t="n"/>
      <c r="K60" s="45" t="inlineStr">
        <is>
          <t>정상</t>
        </is>
      </c>
      <c r="L60" s="43" t="n"/>
      <c r="M60" s="46" t="n">
        <v>44326</v>
      </c>
      <c r="N60" s="43" t="n"/>
      <c r="O60" s="47" t="n">
        <v>165000</v>
      </c>
      <c r="P60" s="46" t="n"/>
      <c r="Q60" s="43" t="n"/>
      <c r="R60" s="48">
        <f t="array" ref="R60:R60">IF(AND(ISNUMBER(P60),ISNUMBER(Q60)),EDATE((TRUE()+(0*7+IF(P60&gt;60,P60-1,P60))),Q60),"")</f>
        <v/>
      </c>
      <c r="S60" s="43" t="n"/>
      <c r="T60" s="43" t="n"/>
    </row>
    <row r="61" ht="15" customHeight="1" s="35">
      <c r="A61" s="42" t="inlineStr">
        <is>
          <t>BAT-FZ-003</t>
        </is>
      </c>
      <c r="B61" s="43" t="n"/>
      <c r="C61" s="43" t="n"/>
      <c r="D61" s="44" t="n"/>
      <c r="E61" s="45" t="inlineStr">
        <is>
          <t>배터리(BAT)</t>
        </is>
      </c>
      <c r="F61" s="42" t="inlineStr">
        <is>
          <t>Sony</t>
        </is>
      </c>
      <c r="G61" s="42" t="inlineStr">
        <is>
          <t>Sony FZ100</t>
        </is>
      </c>
      <c r="H61" s="42" t="inlineStr">
        <is>
          <t>Sony</t>
        </is>
      </c>
      <c r="I61" s="42" t="inlineStr">
        <is>
          <t>FZ100</t>
        </is>
      </c>
      <c r="J61" s="43" t="n"/>
      <c r="K61" s="45" t="inlineStr">
        <is>
          <t>정상</t>
        </is>
      </c>
      <c r="L61" s="43" t="n"/>
      <c r="M61" s="46" t="n">
        <v>44326</v>
      </c>
      <c r="N61" s="43" t="n"/>
      <c r="O61" s="47" t="n">
        <v>165000</v>
      </c>
      <c r="P61" s="46" t="n"/>
      <c r="Q61" s="43" t="n"/>
      <c r="R61" s="48">
        <f t="array" ref="R61:R61">IF(AND(ISNUMBER(P61),ISNUMBER(Q61)),EDATE((TRUE()+(0*7+IF(P61&gt;60,P61-1,P61))),Q61),"")</f>
        <v/>
      </c>
      <c r="S61" s="43" t="n"/>
      <c r="T61" s="43" t="n"/>
    </row>
    <row r="62" ht="15" customHeight="1" s="35">
      <c r="A62" s="42" t="inlineStr">
        <is>
          <t>BAT-FZ-004</t>
        </is>
      </c>
      <c r="B62" s="43" t="n"/>
      <c r="C62" s="43" t="n"/>
      <c r="D62" s="44" t="n"/>
      <c r="E62" s="45" t="inlineStr">
        <is>
          <t>배터리(BAT)</t>
        </is>
      </c>
      <c r="F62" s="42" t="inlineStr">
        <is>
          <t>Sony</t>
        </is>
      </c>
      <c r="G62" s="42" t="inlineStr">
        <is>
          <t>Sony FZ100</t>
        </is>
      </c>
      <c r="H62" s="42" t="inlineStr">
        <is>
          <t>Sony</t>
        </is>
      </c>
      <c r="I62" s="42" t="inlineStr">
        <is>
          <t>FZ100</t>
        </is>
      </c>
      <c r="J62" s="43" t="n"/>
      <c r="K62" s="45" t="inlineStr">
        <is>
          <t>정상</t>
        </is>
      </c>
      <c r="L62" s="43" t="n"/>
      <c r="M62" s="46" t="n">
        <v>44326</v>
      </c>
      <c r="N62" s="43" t="n"/>
      <c r="O62" s="47" t="n">
        <v>165000</v>
      </c>
      <c r="P62" s="46" t="n"/>
      <c r="Q62" s="43" t="n"/>
      <c r="R62" s="48">
        <f t="array" ref="R62:R62">IF(AND(ISNUMBER(P62),ISNUMBER(Q62)),EDATE((TRUE()+(0*7+IF(P62&gt;60,P62-1,P62))),Q62),"")</f>
        <v/>
      </c>
      <c r="S62" s="43" t="n"/>
      <c r="T62" s="43" t="n"/>
    </row>
    <row r="63" ht="15" customHeight="1" s="35">
      <c r="A63" s="42" t="inlineStr">
        <is>
          <t>BAT-F-001</t>
        </is>
      </c>
      <c r="B63" s="43" t="n"/>
      <c r="C63" s="43" t="n"/>
      <c r="D63" s="44" t="n"/>
      <c r="E63" s="45" t="inlineStr">
        <is>
          <t>배터리(BAT)</t>
        </is>
      </c>
      <c r="F63" s="42" t="inlineStr">
        <is>
          <t>F 마운트</t>
        </is>
      </c>
      <c r="G63" s="42" t="inlineStr">
        <is>
          <t>FARSEEING F 마운트 배터리</t>
        </is>
      </c>
      <c r="H63" s="42" t="inlineStr">
        <is>
          <t>FARSEEING</t>
        </is>
      </c>
      <c r="I63" s="42" t="inlineStr">
        <is>
          <t>F 마운트 배터리</t>
        </is>
      </c>
      <c r="J63" s="43" t="n"/>
      <c r="K63" s="45" t="inlineStr">
        <is>
          <t>정상</t>
        </is>
      </c>
      <c r="L63" s="43" t="n"/>
      <c r="M63" s="46" t="n">
        <v>44503</v>
      </c>
      <c r="N63" s="43" t="n"/>
      <c r="O63" s="47" t="n">
        <v>178000</v>
      </c>
      <c r="P63" s="46" t="n"/>
      <c r="Q63" s="43" t="n"/>
      <c r="R63" s="48">
        <f t="array" ref="R63:R63">IF(AND(ISNUMBER(P63),ISNUMBER(Q63)),EDATE((TRUE()+(0*7+IF(P63&gt;60,P63-1,P63))),Q63),"")</f>
        <v/>
      </c>
      <c r="S63" s="43" t="n"/>
      <c r="T63" s="43" t="n"/>
    </row>
    <row r="64" ht="15" customHeight="1" s="35">
      <c r="A64" s="42" t="inlineStr">
        <is>
          <t>BAT-F-002</t>
        </is>
      </c>
      <c r="B64" s="43" t="n"/>
      <c r="C64" s="43" t="n"/>
      <c r="D64" s="44" t="n"/>
      <c r="E64" s="45" t="inlineStr">
        <is>
          <t>배터리(BAT)</t>
        </is>
      </c>
      <c r="F64" s="42" t="inlineStr">
        <is>
          <t>F 마운트</t>
        </is>
      </c>
      <c r="G64" s="45" t="inlineStr">
        <is>
          <t>스몰리그 NP-F970 배터리</t>
        </is>
      </c>
      <c r="H64" s="42" t="inlineStr">
        <is>
          <t>SmallRig</t>
        </is>
      </c>
      <c r="I64" s="42" t="inlineStr">
        <is>
          <t>NP-F970 배터리</t>
        </is>
      </c>
      <c r="J64" s="43" t="n"/>
      <c r="K64" s="45" t="inlineStr">
        <is>
          <t>정상</t>
        </is>
      </c>
      <c r="L64" s="43" t="n"/>
      <c r="M64" s="46" t="n">
        <v>44503</v>
      </c>
      <c r="N64" s="43" t="n"/>
      <c r="O64" s="47" t="n">
        <v>178000</v>
      </c>
      <c r="P64" s="46" t="n"/>
      <c r="Q64" s="43" t="n"/>
      <c r="R64" s="48">
        <f t="array" ref="R64:R64">IF(AND(ISNUMBER(P64),ISNUMBER(Q64)),EDATE((TRUE()+(0*7+IF(P64&gt;60,P64-1,P64))),Q64),"")</f>
        <v/>
      </c>
      <c r="S64" s="43" t="n"/>
      <c r="T64" s="43" t="n"/>
    </row>
    <row r="65" ht="15" customHeight="1" s="35">
      <c r="A65" s="42" t="inlineStr">
        <is>
          <t>BAT-F-003</t>
        </is>
      </c>
      <c r="B65" s="43" t="n"/>
      <c r="C65" s="43" t="n"/>
      <c r="D65" s="44" t="n"/>
      <c r="E65" s="45" t="inlineStr">
        <is>
          <t>배터리(BAT)</t>
        </is>
      </c>
      <c r="F65" s="42" t="inlineStr">
        <is>
          <t>F 마운트</t>
        </is>
      </c>
      <c r="G65" s="45" t="inlineStr">
        <is>
          <t>스몰리그 NP-F970 배터리</t>
        </is>
      </c>
      <c r="H65" s="42" t="inlineStr">
        <is>
          <t>SmallRig</t>
        </is>
      </c>
      <c r="I65" s="42" t="inlineStr">
        <is>
          <t>NP-F970 배터리</t>
        </is>
      </c>
      <c r="J65" s="43" t="n"/>
      <c r="K65" s="45" t="inlineStr">
        <is>
          <t>정상</t>
        </is>
      </c>
      <c r="L65" s="43" t="n"/>
      <c r="M65" s="46" t="n">
        <v>44503</v>
      </c>
      <c r="N65" s="43" t="n"/>
      <c r="O65" s="47" t="n">
        <v>178000</v>
      </c>
      <c r="P65" s="46" t="n"/>
      <c r="Q65" s="43" t="n"/>
      <c r="R65" s="48">
        <f t="array" ref="R65:R65">IF(AND(ISNUMBER(P65),ISNUMBER(Q65)),EDATE((TRUE()+(0*7+IF(P65&gt;60,P65-1,P65))),Q65),"")</f>
        <v/>
      </c>
      <c r="S65" s="43" t="n"/>
      <c r="T65" s="43" t="n"/>
    </row>
    <row r="66" ht="15" customHeight="1" s="35">
      <c r="A66" s="42" t="inlineStr">
        <is>
          <t>BAT-V-001</t>
        </is>
      </c>
      <c r="B66" s="43" t="n"/>
      <c r="C66" s="43" t="n"/>
      <c r="D66" s="44" t="n"/>
      <c r="E66" s="45" t="inlineStr">
        <is>
          <t>배터리(BAT)</t>
        </is>
      </c>
      <c r="F66" s="42" t="inlineStr">
        <is>
          <t>V 마운트</t>
        </is>
      </c>
      <c r="G66" s="42" t="inlineStr">
        <is>
          <t>GenTree V마운트 배터리 195w</t>
        </is>
      </c>
      <c r="H66" s="42" t="inlineStr">
        <is>
          <t>GenTree</t>
        </is>
      </c>
      <c r="I66" s="42" t="inlineStr">
        <is>
          <t>V마운트 배터리 195w</t>
        </is>
      </c>
      <c r="J66" s="43" t="n"/>
      <c r="K66" s="45" t="inlineStr">
        <is>
          <t>정상</t>
        </is>
      </c>
      <c r="L66" s="43" t="n"/>
      <c r="M66" s="46" t="n">
        <v>44503</v>
      </c>
      <c r="N66" s="43" t="n"/>
      <c r="O66" s="47" t="n">
        <v>178000</v>
      </c>
      <c r="P66" s="46" t="n"/>
      <c r="Q66" s="43" t="n"/>
      <c r="R66" s="48">
        <f t="array" ref="R66:R66">IF(AND(ISNUMBER(P66),ISNUMBER(Q66)),EDATE((TRUE()+(0*7+IF(P66&gt;60,P66-1,P66))),Q66),"")</f>
        <v/>
      </c>
      <c r="S66" s="43" t="n"/>
      <c r="T66" s="43" t="n"/>
    </row>
    <row r="67" ht="15" customHeight="1" s="35">
      <c r="A67" s="42" t="inlineStr">
        <is>
          <t>BAT-V-002</t>
        </is>
      </c>
      <c r="B67" s="43" t="n"/>
      <c r="C67" s="43" t="n"/>
      <c r="D67" s="44" t="n"/>
      <c r="E67" s="45" t="inlineStr">
        <is>
          <t>배터리(BAT)</t>
        </is>
      </c>
      <c r="F67" s="42" t="inlineStr">
        <is>
          <t>V 마운트</t>
        </is>
      </c>
      <c r="G67" s="42" t="inlineStr">
        <is>
          <t>GenTree V마운트 배터리 195w</t>
        </is>
      </c>
      <c r="H67" s="42" t="inlineStr">
        <is>
          <t>GenTree</t>
        </is>
      </c>
      <c r="I67" s="42" t="inlineStr">
        <is>
          <t>V마운트 배터리 195w</t>
        </is>
      </c>
      <c r="J67" s="43" t="n"/>
      <c r="K67" s="45" t="inlineStr">
        <is>
          <t>정상</t>
        </is>
      </c>
      <c r="L67" s="43" t="n"/>
      <c r="M67" s="46" t="n">
        <v>44503</v>
      </c>
      <c r="N67" s="43" t="n"/>
      <c r="O67" s="47" t="n">
        <v>178000</v>
      </c>
      <c r="P67" s="46" t="n"/>
      <c r="Q67" s="43" t="n"/>
      <c r="R67" s="48">
        <f t="array" ref="R67:R67">IF(AND(ISNUMBER(P67),ISNUMBER(Q67)),EDATE((TRUE()+(0*7+IF(P67&gt;60,P67-1,P67))),Q67),"")</f>
        <v/>
      </c>
      <c r="S67" s="43" t="n"/>
      <c r="T67" s="43" t="n"/>
    </row>
    <row r="68" ht="15" customHeight="1" s="35">
      <c r="A68" s="42" t="inlineStr">
        <is>
          <t>BAT-V-003</t>
        </is>
      </c>
      <c r="B68" s="43" t="n"/>
      <c r="C68" s="43" t="n"/>
      <c r="D68" s="44" t="n"/>
      <c r="E68" s="45" t="inlineStr">
        <is>
          <t>배터리(BAT)</t>
        </is>
      </c>
      <c r="F68" s="42" t="inlineStr">
        <is>
          <t>V 마운트</t>
        </is>
      </c>
      <c r="G68" s="42" t="inlineStr">
        <is>
          <t>GenTree V마운트 배터리 195w</t>
        </is>
      </c>
      <c r="H68" s="42" t="inlineStr">
        <is>
          <t>GenTree</t>
        </is>
      </c>
      <c r="I68" s="42" t="inlineStr">
        <is>
          <t>V마운트 배터리 195w</t>
        </is>
      </c>
      <c r="J68" s="43" t="n"/>
      <c r="K68" s="45" t="inlineStr">
        <is>
          <t>정상</t>
        </is>
      </c>
      <c r="L68" s="43" t="n"/>
      <c r="M68" s="46" t="n">
        <v>44503</v>
      </c>
      <c r="N68" s="43" t="n"/>
      <c r="O68" s="47" t="n">
        <v>178000</v>
      </c>
      <c r="P68" s="46" t="n"/>
      <c r="Q68" s="43" t="n"/>
      <c r="R68" s="48">
        <f t="array" ref="R68:R68">IF(AND(ISNUMBER(P68),ISNUMBER(Q68)),EDATE((TRUE()+(0*7+IF(P68&gt;60,P68-1,P68))),Q68),"")</f>
        <v/>
      </c>
      <c r="S68" s="43" t="n"/>
      <c r="T68" s="43" t="n"/>
    </row>
    <row r="69" ht="15" customHeight="1" s="35">
      <c r="A69" s="42" t="inlineStr">
        <is>
          <t>BAT-V-004</t>
        </is>
      </c>
      <c r="B69" s="43" t="n"/>
      <c r="C69" s="43" t="n"/>
      <c r="D69" s="44" t="n"/>
      <c r="E69" s="45" t="inlineStr">
        <is>
          <t>배터리(BAT)</t>
        </is>
      </c>
      <c r="F69" s="42" t="inlineStr">
        <is>
          <t>V 마운트</t>
        </is>
      </c>
      <c r="G69" s="42" t="inlineStr">
        <is>
          <t>FXLION V마운트 배터리 100w</t>
        </is>
      </c>
      <c r="H69" s="42" t="inlineStr">
        <is>
          <t>FXLION</t>
        </is>
      </c>
      <c r="I69" s="42" t="inlineStr">
        <is>
          <t>V마운트 배터리 100w</t>
        </is>
      </c>
      <c r="J69" s="43" t="n"/>
      <c r="K69" s="45" t="inlineStr">
        <is>
          <t>정상</t>
        </is>
      </c>
      <c r="L69" s="43" t="n"/>
      <c r="M69" s="46" t="n">
        <v>44503</v>
      </c>
      <c r="N69" s="43" t="n"/>
      <c r="O69" s="47" t="n">
        <v>178000</v>
      </c>
      <c r="P69" s="46" t="n"/>
      <c r="Q69" s="43" t="n"/>
      <c r="R69" s="48">
        <f t="array" ref="R69:R69">IF(AND(ISNUMBER(P69),ISNUMBER(Q69)),EDATE((TRUE()+(0*7+IF(P69&gt;60,P69-1,P69))),Q69),"")</f>
        <v/>
      </c>
      <c r="S69" s="43" t="n"/>
      <c r="T69" s="43" t="n"/>
    </row>
    <row r="70" ht="15" customHeight="1" s="35">
      <c r="A70" s="42" t="inlineStr">
        <is>
          <t>ACC-004</t>
        </is>
      </c>
      <c r="B70" s="43" t="n"/>
      <c r="C70" s="43" t="n"/>
      <c r="D70" s="44" t="n"/>
      <c r="E70" s="45" t="inlineStr">
        <is>
          <t>액세서리(ACC)</t>
        </is>
      </c>
      <c r="F70" s="45" t="inlineStr">
        <is>
          <t>인터콤</t>
        </is>
      </c>
      <c r="G70" s="42" t="inlineStr">
        <is>
          <t>HOLLYLAND Solidcom SE 5S</t>
        </is>
      </c>
      <c r="H70" s="42" t="inlineStr">
        <is>
          <t>HOLLYLAND</t>
        </is>
      </c>
      <c r="I70" s="42" t="inlineStr">
        <is>
          <t>Solidcom SE 5S</t>
        </is>
      </c>
      <c r="J70" s="43" t="n"/>
      <c r="K70" s="45" t="inlineStr">
        <is>
          <t>정상</t>
        </is>
      </c>
      <c r="L70" s="43" t="n"/>
      <c r="M70" s="46" t="n"/>
      <c r="N70" s="43" t="n"/>
      <c r="O70" s="47" t="n"/>
      <c r="P70" s="46" t="n"/>
      <c r="Q70" s="43" t="n"/>
      <c r="R70" s="48">
        <f t="array" ref="R70:R70">IF(AND(ISNUMBER(P70),ISNUMBER(Q70)),EDATE((TRUE()+(0*7+IF(P70&gt;60,P70-1,P70))),Q70),"")</f>
        <v/>
      </c>
      <c r="S70" s="43" t="n"/>
      <c r="T70" s="43" t="n"/>
    </row>
    <row r="71" ht="15" customHeight="1" s="35">
      <c r="A71" s="42" t="inlineStr">
        <is>
          <t>ACC-005</t>
        </is>
      </c>
      <c r="B71" s="43" t="n"/>
      <c r="C71" s="43" t="n"/>
      <c r="D71" s="44" t="n"/>
      <c r="E71" s="45" t="inlineStr">
        <is>
          <t>액세서리(ACC)</t>
        </is>
      </c>
      <c r="F71" s="45" t="inlineStr">
        <is>
          <t>무선 송수신기</t>
        </is>
      </c>
      <c r="G71" s="42" t="inlineStr">
        <is>
          <t>HOLLYLAND MARS 400s PRO</t>
        </is>
      </c>
      <c r="H71" s="42" t="inlineStr">
        <is>
          <t>HOLLYLAND</t>
        </is>
      </c>
      <c r="I71" s="42" t="inlineStr">
        <is>
          <t>MARS 400s PRO</t>
        </is>
      </c>
      <c r="J71" s="43" t="n"/>
      <c r="K71" s="45" t="inlineStr">
        <is>
          <t>정상</t>
        </is>
      </c>
      <c r="L71" s="43" t="n"/>
      <c r="M71" s="46" t="n"/>
      <c r="N71" s="43" t="n"/>
      <c r="O71" s="47" t="n"/>
      <c r="P71" s="46" t="n"/>
      <c r="Q71" s="43" t="n"/>
      <c r="R71" s="48">
        <f t="array" ref="R71:R71">IF(AND(ISNUMBER(P71),ISNUMBER(Q71)),EDATE((TRUE()+(0*7+IF(P71&gt;60,P71-1,P71))),Q71),"")</f>
        <v/>
      </c>
      <c r="S71" s="43" t="n"/>
      <c r="T71" s="43" t="n"/>
    </row>
    <row r="72" ht="27" customHeight="1" s="35">
      <c r="A72" s="49" t="inlineStr">
        <is>
          <t>MOD-010</t>
        </is>
      </c>
      <c r="B72" s="43" t="n"/>
      <c r="C72" s="43" t="n"/>
      <c r="D72" s="44" t="n"/>
      <c r="E72" s="50" t="inlineStr">
        <is>
          <t>조명 모디파이어(MOD)</t>
        </is>
      </c>
      <c r="F72" s="45" t="inlineStr">
        <is>
          <t>반사판</t>
        </is>
      </c>
      <c r="G72" s="42" t="inlineStr">
        <is>
          <t>Triflector MkII Kit 프레임 Sunfire/Silver 반사판 스탠드 키트</t>
        </is>
      </c>
      <c r="H72" s="42" t="inlineStr">
        <is>
          <t>Manfrotto</t>
        </is>
      </c>
      <c r="I72" s="42" t="inlineStr">
        <is>
          <t>LR2933SP</t>
        </is>
      </c>
      <c r="J72" s="43" t="n"/>
      <c r="K72" s="45" t="inlineStr">
        <is>
          <t>정상</t>
        </is>
      </c>
      <c r="L72" s="43" t="n"/>
      <c r="M72" s="46" t="n"/>
      <c r="N72" s="43" t="n"/>
      <c r="O72" s="47" t="n"/>
      <c r="P72" s="46" t="n"/>
      <c r="Q72" s="43" t="n"/>
      <c r="R72" s="48">
        <f t="array" ref="R72:R72">IF(AND(ISNUMBER(P72),ISNUMBER(Q72)),EDATE((TRUE()+(0*7+IF(P72&gt;60,P72-1,P72))),Q72),"")</f>
        <v/>
      </c>
      <c r="S72" s="43" t="n"/>
      <c r="T72" s="51" t="inlineStr">
        <is>
          <t>반사판은 MOD로 분류 (ACC→MOD)</t>
        </is>
      </c>
    </row>
    <row r="73" ht="15" customHeight="1" s="35">
      <c r="A73" s="42" t="inlineStr">
        <is>
          <t>GIM-001</t>
        </is>
      </c>
      <c r="B73" s="43" t="n"/>
      <c r="C73" s="43" t="n"/>
      <c r="D73" s="44" t="n"/>
      <c r="E73" s="45" t="inlineStr">
        <is>
          <t>짐벌(GIM)</t>
        </is>
      </c>
      <c r="F73" s="45" t="inlineStr">
        <is>
          <t>짐벌</t>
        </is>
      </c>
      <c r="G73" s="42" t="inlineStr">
        <is>
          <t>DJI RS4 PRO</t>
        </is>
      </c>
      <c r="H73" s="42" t="inlineStr">
        <is>
          <t>DJI</t>
        </is>
      </c>
      <c r="I73" s="42" t="inlineStr">
        <is>
          <t>RS4 PRO</t>
        </is>
      </c>
      <c r="J73" s="43" t="n"/>
      <c r="K73" s="45" t="inlineStr">
        <is>
          <t>정상</t>
        </is>
      </c>
      <c r="L73" s="43" t="n"/>
      <c r="M73" s="46" t="n"/>
      <c r="N73" s="43" t="n"/>
      <c r="O73" s="47" t="n"/>
      <c r="P73" s="46" t="n"/>
      <c r="Q73" s="43" t="n"/>
      <c r="R73" s="48">
        <f t="array" ref="R73:R73">IF(AND(ISNUMBER(P73),ISNUMBER(Q73)),EDATE((TRUE()+(0*7+IF(P73&gt;60,P73-1,P73))),Q73),"")</f>
        <v/>
      </c>
      <c r="S73" s="43" t="n"/>
      <c r="T73" s="43" t="n"/>
    </row>
    <row r="74" ht="15" customHeight="1" s="35">
      <c r="A74" s="42" t="inlineStr">
        <is>
          <t>STO-001</t>
        </is>
      </c>
      <c r="B74" s="43" t="n"/>
      <c r="C74" s="43" t="n"/>
      <c r="D74" s="44" t="n"/>
      <c r="E74" s="45" t="inlineStr">
        <is>
          <t>저장매체(STO)</t>
        </is>
      </c>
      <c r="F74" s="42" t="inlineStr">
        <is>
          <t>SD</t>
        </is>
      </c>
      <c r="G74" s="42" t="inlineStr">
        <is>
          <t>TOUGH SD 128GB</t>
        </is>
      </c>
      <c r="H74" s="42" t="inlineStr">
        <is>
          <t>TOUGH</t>
        </is>
      </c>
      <c r="I74" s="42" t="inlineStr">
        <is>
          <t>SD 128GB</t>
        </is>
      </c>
      <c r="J74" s="43" t="n"/>
      <c r="K74" s="45" t="inlineStr">
        <is>
          <t>정상</t>
        </is>
      </c>
      <c r="L74" s="43" t="n"/>
      <c r="M74" s="46" t="n"/>
      <c r="N74" s="43" t="n"/>
      <c r="O74" s="47" t="n"/>
      <c r="P74" s="46" t="n"/>
      <c r="Q74" s="43" t="n"/>
      <c r="R74" s="48">
        <f t="array" ref="R74:R74">IF(AND(ISNUMBER(P74),ISNUMBER(Q74)),EDATE((TRUE()+(0*7+IF(P74&gt;60,P74-1,P74))),Q74),"")</f>
        <v/>
      </c>
      <c r="S74" s="43" t="n"/>
      <c r="T74" s="43" t="n"/>
    </row>
    <row r="75" ht="15" customHeight="1" s="35">
      <c r="A75" s="42" t="inlineStr">
        <is>
          <t>STO-002</t>
        </is>
      </c>
      <c r="B75" s="43" t="n"/>
      <c r="C75" s="43" t="n"/>
      <c r="D75" s="44" t="n"/>
      <c r="E75" s="45" t="inlineStr">
        <is>
          <t>저장매체(STO)</t>
        </is>
      </c>
      <c r="F75" s="42" t="inlineStr">
        <is>
          <t>SD</t>
        </is>
      </c>
      <c r="G75" s="42" t="inlineStr">
        <is>
          <t>TOUGH SD 128GB</t>
        </is>
      </c>
      <c r="H75" s="42" t="inlineStr">
        <is>
          <t>TOUGH</t>
        </is>
      </c>
      <c r="I75" s="42" t="inlineStr">
        <is>
          <t>SD 128GB</t>
        </is>
      </c>
      <c r="J75" s="43" t="n"/>
      <c r="K75" s="45" t="inlineStr">
        <is>
          <t>정상</t>
        </is>
      </c>
      <c r="L75" s="43" t="n"/>
      <c r="M75" s="46" t="n"/>
      <c r="N75" s="43" t="n"/>
      <c r="O75" s="47" t="n"/>
      <c r="P75" s="46" t="n"/>
      <c r="Q75" s="43" t="n"/>
      <c r="R75" s="48">
        <f t="array" ref="R75:R75">IF(AND(ISNUMBER(P75),ISNUMBER(Q75)),EDATE((TRUE()+(0*7+IF(P75&gt;60,P75-1,P75))),Q75),"")</f>
        <v/>
      </c>
      <c r="S75" s="43" t="n"/>
      <c r="T75" s="43" t="n"/>
    </row>
    <row r="76" ht="15" customHeight="1" s="35">
      <c r="A76" s="42" t="inlineStr">
        <is>
          <t>STO-003</t>
        </is>
      </c>
      <c r="B76" s="43" t="n"/>
      <c r="C76" s="43" t="n"/>
      <c r="D76" s="44" t="n"/>
      <c r="E76" s="45" t="inlineStr">
        <is>
          <t>저장매체(STO)</t>
        </is>
      </c>
      <c r="F76" s="42" t="inlineStr">
        <is>
          <t>CF express</t>
        </is>
      </c>
      <c r="G76" s="42" t="inlineStr">
        <is>
          <t>TOUCH CF express 160GB</t>
        </is>
      </c>
      <c r="H76" s="42" t="inlineStr">
        <is>
          <t>TOUCH</t>
        </is>
      </c>
      <c r="I76" s="42" t="inlineStr">
        <is>
          <t>CF express 160GB</t>
        </is>
      </c>
      <c r="J76" s="43" t="n"/>
      <c r="K76" s="45" t="inlineStr">
        <is>
          <t>정상</t>
        </is>
      </c>
      <c r="L76" s="43" t="n"/>
      <c r="M76" s="46" t="n"/>
      <c r="N76" s="43" t="n"/>
      <c r="O76" s="47" t="n"/>
      <c r="P76" s="46" t="n"/>
      <c r="Q76" s="43" t="n"/>
      <c r="R76" s="48">
        <f t="array" ref="R76:R76">IF(AND(ISNUMBER(P76),ISNUMBER(Q76)),EDATE((TRUE()+(0*7+IF(P76&gt;60,P76-1,P76))),Q76),"")</f>
        <v/>
      </c>
      <c r="S76" s="43" t="n"/>
      <c r="T76" s="43" t="n"/>
    </row>
    <row r="77" ht="15" customHeight="1" s="35">
      <c r="A77" s="42" t="inlineStr">
        <is>
          <t>STO-004</t>
        </is>
      </c>
      <c r="B77" s="43" t="n"/>
      <c r="C77" s="43" t="n"/>
      <c r="D77" s="44" t="n"/>
      <c r="E77" s="45" t="inlineStr">
        <is>
          <t>저장매체(STO)</t>
        </is>
      </c>
      <c r="F77" s="42" t="inlineStr">
        <is>
          <t>CF express</t>
        </is>
      </c>
      <c r="G77" s="42" t="inlineStr">
        <is>
          <t>TOUCH CF express 160GB</t>
        </is>
      </c>
      <c r="H77" s="42" t="inlineStr">
        <is>
          <t>TOUCH</t>
        </is>
      </c>
      <c r="I77" s="42" t="inlineStr">
        <is>
          <t>CF express 160GB</t>
        </is>
      </c>
      <c r="J77" s="43" t="n"/>
      <c r="K77" s="45" t="inlineStr">
        <is>
          <t>정상</t>
        </is>
      </c>
      <c r="L77" s="43" t="n"/>
      <c r="M77" s="46" t="n"/>
      <c r="N77" s="43" t="n"/>
      <c r="O77" s="47" t="n"/>
      <c r="P77" s="46" t="n"/>
      <c r="Q77" s="43" t="n"/>
      <c r="R77" s="48">
        <f t="array" ref="R77:R77">IF(AND(ISNUMBER(P77),ISNUMBER(Q77)),EDATE((TRUE()+(0*7+IF(P77&gt;60,P77-1,P77))),Q77),"")</f>
        <v/>
      </c>
      <c r="S77" s="43" t="n"/>
      <c r="T77" s="43" t="n"/>
    </row>
    <row r="78" ht="15" customHeight="1" s="35">
      <c r="A78" s="42" t="inlineStr">
        <is>
          <t>STO-005</t>
        </is>
      </c>
      <c r="B78" s="43" t="n"/>
      <c r="C78" s="43" t="n"/>
      <c r="D78" s="44" t="n"/>
      <c r="E78" s="45" t="inlineStr">
        <is>
          <t>저장매체(STO)</t>
        </is>
      </c>
      <c r="F78" s="42" t="inlineStr">
        <is>
          <t>Micro SD카드</t>
        </is>
      </c>
      <c r="G78" s="42" t="inlineStr">
        <is>
          <t>64GB</t>
        </is>
      </c>
      <c r="H78" s="42" t="inlineStr">
        <is>
          <t>64GB</t>
        </is>
      </c>
      <c r="I78" s="43" t="n"/>
      <c r="J78" s="43" t="n"/>
      <c r="K78" s="45" t="inlineStr">
        <is>
          <t>정상</t>
        </is>
      </c>
      <c r="L78" s="43" t="n"/>
      <c r="M78" s="46" t="n"/>
      <c r="N78" s="43" t="n"/>
      <c r="O78" s="47" t="n"/>
      <c r="P78" s="46" t="n"/>
      <c r="Q78" s="43" t="n"/>
      <c r="R78" s="48">
        <f t="array" ref="R78:R78">IF(AND(ISNUMBER(P78),ISNUMBER(Q78)),EDATE((TRUE()+(0*7+IF(P78&gt;60,P78-1,P78))),Q78),"")</f>
        <v/>
      </c>
      <c r="S78" s="43" t="n"/>
      <c r="T78" s="43" t="n"/>
    </row>
    <row r="79" ht="15" customHeight="1" s="35">
      <c r="A79" s="42" t="inlineStr">
        <is>
          <t>MOD-006</t>
        </is>
      </c>
      <c r="B79" s="43" t="n"/>
      <c r="C79" s="43" t="n"/>
      <c r="D79" s="44" t="n"/>
      <c r="E79" s="45" t="inlineStr">
        <is>
          <t>조명 모디파이어(MOD)</t>
        </is>
      </c>
      <c r="F79" s="45" t="inlineStr">
        <is>
          <t>악세사리</t>
        </is>
      </c>
      <c r="G79" s="42" t="inlineStr">
        <is>
          <t>NANLINK BOX</t>
        </is>
      </c>
      <c r="H79" s="42" t="inlineStr">
        <is>
          <t>NANLINK</t>
        </is>
      </c>
      <c r="I79" s="42" t="inlineStr">
        <is>
          <t>NANLINK BOX</t>
        </is>
      </c>
      <c r="J79" s="43" t="n"/>
      <c r="K79" s="45" t="inlineStr">
        <is>
          <t>정상</t>
        </is>
      </c>
      <c r="L79" s="43" t="n"/>
      <c r="M79" s="46" t="n"/>
      <c r="N79" s="43" t="n"/>
      <c r="O79" s="47" t="n"/>
      <c r="P79" s="46" t="n"/>
      <c r="Q79" s="43" t="n"/>
      <c r="R79" s="48">
        <f t="array" ref="R79:R79">IF(AND(ISNUMBER(P79),ISNUMBER(Q79)),EDATE((TRUE()+(0*7+IF(P79&gt;60,P79-1,P79))),Q79),"")</f>
        <v/>
      </c>
      <c r="S79" s="43" t="n"/>
      <c r="T79" s="43" t="n"/>
    </row>
    <row r="80" ht="15" customHeight="1" s="35">
      <c r="A80" s="49" t="inlineStr">
        <is>
          <t>ETC-001</t>
        </is>
      </c>
      <c r="B80" s="43" t="n"/>
      <c r="C80" s="43" t="n"/>
      <c r="D80" s="43" t="n"/>
      <c r="E80" s="50" t="inlineStr">
        <is>
          <t>기타(ETC)</t>
        </is>
      </c>
      <c r="F80" s="50" t="inlineStr">
        <is>
          <t>카트</t>
        </is>
      </c>
      <c r="G80" s="51" t="inlineStr">
        <is>
          <t>카트</t>
        </is>
      </c>
      <c r="H80" s="43" t="n"/>
      <c r="I80" s="49" t="n"/>
      <c r="J80" s="43" t="n"/>
      <c r="K80" s="53" t="inlineStr">
        <is>
          <t>정상</t>
        </is>
      </c>
      <c r="L80" s="43" t="n"/>
      <c r="M80" s="46" t="n"/>
      <c r="N80" s="43" t="n"/>
      <c r="O80" s="47" t="n"/>
      <c r="P80" s="46" t="n"/>
      <c r="Q80" s="43" t="n"/>
      <c r="R80" s="49">
        <f t="array" ref="R80:R80">IF(AND(ISNUMBER(P80),ISNUMBER(Q80)),EDATE((TRUE()+(0*7+IF(P80&gt;60,P80-1,P80))),Q80),"")</f>
        <v/>
      </c>
      <c r="S80" s="43" t="n"/>
      <c r="T80" s="43" t="n"/>
    </row>
    <row r="81" ht="15" customHeight="1" s="35">
      <c r="A81" s="49" t="inlineStr">
        <is>
          <t>ETC-002</t>
        </is>
      </c>
      <c r="B81" s="43" t="n"/>
      <c r="C81" s="43" t="n"/>
      <c r="D81" s="43" t="n"/>
      <c r="E81" s="50" t="inlineStr">
        <is>
          <t>기타(ETC)</t>
        </is>
      </c>
      <c r="F81" s="50" t="inlineStr">
        <is>
          <t>구르마</t>
        </is>
      </c>
      <c r="G81" s="51" t="inlineStr">
        <is>
          <t>구르마</t>
        </is>
      </c>
      <c r="H81" s="43" t="n"/>
      <c r="I81" s="49" t="n"/>
      <c r="J81" s="43" t="n"/>
      <c r="K81" s="53" t="inlineStr">
        <is>
          <t>정상</t>
        </is>
      </c>
      <c r="L81" s="43" t="n"/>
      <c r="M81" s="46" t="n"/>
      <c r="N81" s="43" t="n"/>
      <c r="O81" s="47" t="n"/>
      <c r="P81" s="46" t="n"/>
      <c r="Q81" s="43" t="n"/>
      <c r="R81" s="49">
        <f t="array" ref="R81:R81">IF(AND(ISNUMBER(P81),ISNUMBER(Q81)),EDATE((TRUE()+(0*7+IF(P81&gt;60,P81-1,P81))),Q81),"")</f>
        <v/>
      </c>
      <c r="S81" s="43" t="n"/>
      <c r="T81" s="43" t="n"/>
    </row>
    <row r="82" ht="15" customHeight="1" s="35">
      <c r="A82" s="49" t="inlineStr">
        <is>
          <t>ETC-003</t>
        </is>
      </c>
      <c r="B82" s="43" t="n"/>
      <c r="C82" s="43" t="n"/>
      <c r="D82" s="43" t="n"/>
      <c r="E82" s="50" t="inlineStr">
        <is>
          <t>기타(ETC)</t>
        </is>
      </c>
      <c r="F82" s="50" t="inlineStr">
        <is>
          <t>왜건</t>
        </is>
      </c>
      <c r="G82" s="51" t="inlineStr">
        <is>
          <t>왜건</t>
        </is>
      </c>
      <c r="H82" s="43" t="n"/>
      <c r="I82" s="49" t="n"/>
      <c r="J82" s="43" t="n"/>
      <c r="K82" s="53" t="inlineStr">
        <is>
          <t>정상</t>
        </is>
      </c>
      <c r="L82" s="43" t="n"/>
      <c r="M82" s="46" t="n"/>
      <c r="N82" s="43" t="n"/>
      <c r="O82" s="47" t="n"/>
      <c r="P82" s="46" t="n"/>
      <c r="Q82" s="43" t="n"/>
      <c r="R82" s="49">
        <f t="array" ref="R82:R82">IF(AND(ISNUMBER(P82),ISNUMBER(Q82)),EDATE((TRUE()+(0*7+IF(P82&gt;60,P82-1,P82))),Q82),"")</f>
        <v/>
      </c>
      <c r="S82" s="43" t="n"/>
      <c r="T82" s="43" t="n"/>
    </row>
    <row r="83" ht="15" customHeight="1" s="35">
      <c r="A83" s="49" t="inlineStr">
        <is>
          <t>PWR-001</t>
        </is>
      </c>
      <c r="B83" s="43" t="n"/>
      <c r="C83" s="43" t="n"/>
      <c r="D83" s="43" t="n"/>
      <c r="E83" s="50" t="inlineStr">
        <is>
          <t>충전기/전원(PWR)</t>
        </is>
      </c>
      <c r="F83" s="50" t="inlineStr">
        <is>
          <t>전기릴선</t>
        </is>
      </c>
      <c r="G83" s="51" t="inlineStr">
        <is>
          <t>전기릴선</t>
        </is>
      </c>
      <c r="H83" s="43" t="n"/>
      <c r="I83" s="49" t="n"/>
      <c r="J83" s="43" t="n"/>
      <c r="K83" s="53" t="inlineStr">
        <is>
          <t>정상</t>
        </is>
      </c>
      <c r="L83" s="43" t="n"/>
      <c r="M83" s="46" t="n"/>
      <c r="N83" s="43" t="n"/>
      <c r="O83" s="47" t="n"/>
      <c r="P83" s="46" t="n"/>
      <c r="Q83" s="43" t="n"/>
      <c r="R83" s="49">
        <f t="array" ref="R83:R83">IF(AND(ISNUMBER(P83),ISNUMBER(Q83)),EDATE((TRUE()+(0*7+IF(P83&gt;60,P83-1,P83))),Q83),"")</f>
        <v/>
      </c>
      <c r="S83" s="43" t="n"/>
      <c r="T83" s="51" t="inlineStr">
        <is>
          <t>전원 계열은 PWR로 분류 (ETC→PWR)</t>
        </is>
      </c>
    </row>
    <row r="84" ht="15" customHeight="1" s="35">
      <c r="A84" s="49" t="inlineStr">
        <is>
          <t>PWR-002</t>
        </is>
      </c>
      <c r="B84" s="43" t="n"/>
      <c r="C84" s="43" t="n"/>
      <c r="D84" s="43" t="n"/>
      <c r="E84" s="50" t="inlineStr">
        <is>
          <t>충전기/전원(PWR)</t>
        </is>
      </c>
      <c r="F84" s="50" t="inlineStr">
        <is>
          <t>전기릴선</t>
        </is>
      </c>
      <c r="G84" s="51" t="inlineStr">
        <is>
          <t>전기릴선</t>
        </is>
      </c>
      <c r="H84" s="43" t="n"/>
      <c r="I84" s="49" t="n"/>
      <c r="J84" s="43" t="n"/>
      <c r="K84" s="53" t="inlineStr">
        <is>
          <t>정상</t>
        </is>
      </c>
      <c r="L84" s="43" t="n"/>
      <c r="M84" s="46" t="n"/>
      <c r="N84" s="43" t="n"/>
      <c r="O84" s="47" t="n"/>
      <c r="P84" s="46" t="n"/>
      <c r="Q84" s="43" t="n"/>
      <c r="R84" s="49">
        <f t="array" ref="R84:R84">IF(AND(ISNUMBER(P84),ISNUMBER(Q84)),EDATE((TRUE()+(0*7+IF(P84&gt;60,P84-1,P84))),Q84),"")</f>
        <v/>
      </c>
      <c r="S84" s="43" t="n"/>
      <c r="T84" s="51" t="inlineStr">
        <is>
          <t>전원 계열은 PWR로 분류 (ETC→PWR)</t>
        </is>
      </c>
    </row>
    <row r="85" ht="15" customHeight="1" s="35">
      <c r="A85" s="43" t="inlineStr">
        <is>
          <t>PWR-003</t>
        </is>
      </c>
      <c r="B85" s="43" t="n"/>
      <c r="C85" s="43" t="n"/>
      <c r="D85" s="43" t="n"/>
      <c r="E85" s="50" t="inlineStr">
        <is>
          <t>충전기/전원(PWR)</t>
        </is>
      </c>
      <c r="F85" s="50" t="inlineStr">
        <is>
          <t>전기릴선</t>
        </is>
      </c>
      <c r="G85" s="51" t="inlineStr">
        <is>
          <t>전기릴선</t>
        </is>
      </c>
      <c r="H85" s="43" t="n"/>
      <c r="I85" s="43" t="n"/>
      <c r="J85" s="43" t="n"/>
      <c r="K85" s="53" t="inlineStr">
        <is>
          <t>정상</t>
        </is>
      </c>
      <c r="L85" s="43" t="n"/>
      <c r="M85" s="46" t="n"/>
      <c r="N85" s="43" t="n"/>
      <c r="O85" s="47" t="n"/>
      <c r="P85" s="46" t="n"/>
      <c r="Q85" s="43" t="n"/>
      <c r="R85" s="49">
        <f t="array" ref="R85:R85">IF(AND(ISNUMBER(P85),ISNUMBER(Q85)),EDATE((TRUE()+(0*7+IF(P85&gt;60,P85-1,P85))),Q85),"")</f>
        <v/>
      </c>
      <c r="S85" s="43" t="n"/>
      <c r="T85" s="51" t="inlineStr">
        <is>
          <t>전원 계열은 PWR로 분류 (ETC→PWR)</t>
        </is>
      </c>
    </row>
    <row r="86" ht="15" customHeight="1" s="35">
      <c r="A86" s="43" t="inlineStr">
        <is>
          <t>ETC-004</t>
        </is>
      </c>
      <c r="B86" s="43" t="n"/>
      <c r="C86" s="43" t="n"/>
      <c r="D86" s="43" t="n"/>
      <c r="E86" s="50" t="inlineStr">
        <is>
          <t>기타(ETC)</t>
        </is>
      </c>
      <c r="F86" s="50" t="inlineStr">
        <is>
          <t>무게추</t>
        </is>
      </c>
      <c r="G86" s="51" t="inlineStr">
        <is>
          <t>카운터웨이트 4.5kg</t>
        </is>
      </c>
      <c r="H86" s="43" t="n"/>
      <c r="I86" s="50" t="inlineStr">
        <is>
          <t>카운터웨이트(4.5kg)</t>
        </is>
      </c>
      <c r="J86" s="43" t="n"/>
      <c r="K86" s="53" t="inlineStr">
        <is>
          <t>정상</t>
        </is>
      </c>
      <c r="L86" s="43" t="n"/>
      <c r="M86" s="46" t="n"/>
      <c r="N86" s="43" t="n"/>
      <c r="O86" s="47" t="n"/>
      <c r="P86" s="46" t="n"/>
      <c r="Q86" s="43" t="n"/>
      <c r="R86" s="49">
        <f t="array" ref="R86:R86">IF(AND(ISNUMBER(P86),ISNUMBER(Q86)),EDATE((TRUE()+(0*7+IF(P86&gt;60,P86-1,P86))),Q86),"")</f>
        <v/>
      </c>
      <c r="S86" s="43" t="n"/>
      <c r="T86" s="43" t="n"/>
    </row>
    <row r="87" ht="15" customHeight="1" s="35">
      <c r="A87" s="43" t="inlineStr">
        <is>
          <t>ETC-005</t>
        </is>
      </c>
      <c r="B87" s="43" t="n"/>
      <c r="C87" s="43" t="n"/>
      <c r="D87" s="43" t="n"/>
      <c r="E87" s="50" t="inlineStr">
        <is>
          <t>기타(ETC)</t>
        </is>
      </c>
      <c r="F87" s="50" t="inlineStr">
        <is>
          <t>무게추</t>
        </is>
      </c>
      <c r="G87" s="51" t="inlineStr">
        <is>
          <t>샌드백 7kg</t>
        </is>
      </c>
      <c r="H87" s="43" t="n"/>
      <c r="I87" s="50" t="inlineStr">
        <is>
          <t>샌드백 (7kg)</t>
        </is>
      </c>
      <c r="J87" s="43" t="n"/>
      <c r="K87" s="53" t="inlineStr">
        <is>
          <t>정상</t>
        </is>
      </c>
      <c r="L87" s="43" t="n"/>
      <c r="M87" s="46" t="n"/>
      <c r="N87" s="43" t="n"/>
      <c r="O87" s="47" t="n"/>
      <c r="P87" s="46" t="n"/>
      <c r="Q87" s="43" t="n"/>
      <c r="R87" s="49">
        <f t="array" ref="R87:R87">IF(AND(ISNUMBER(P87),ISNUMBER(Q87)),EDATE((TRUE()+(0*7+IF(P87&gt;60,P87-1,P87))),Q87),"")</f>
        <v/>
      </c>
      <c r="S87" s="43" t="n"/>
      <c r="T87" s="43" t="n"/>
    </row>
    <row r="88" ht="15" customHeight="1" s="35">
      <c r="A88" s="43" t="inlineStr">
        <is>
          <t>ETC-006</t>
        </is>
      </c>
      <c r="B88" s="43" t="n"/>
      <c r="C88" s="43" t="n"/>
      <c r="D88" s="43" t="n"/>
      <c r="E88" s="50" t="inlineStr">
        <is>
          <t>기타(ETC)</t>
        </is>
      </c>
      <c r="F88" s="50" t="inlineStr">
        <is>
          <t>무게추</t>
        </is>
      </c>
      <c r="G88" s="51" t="inlineStr">
        <is>
          <t>샌드백 7kg</t>
        </is>
      </c>
      <c r="H88" s="43" t="n"/>
      <c r="I88" s="50" t="inlineStr">
        <is>
          <t>샌드백 (7kg)</t>
        </is>
      </c>
      <c r="J88" s="43" t="n"/>
      <c r="K88" s="53" t="inlineStr">
        <is>
          <t>정상</t>
        </is>
      </c>
      <c r="L88" s="43" t="n"/>
      <c r="M88" s="46" t="n"/>
      <c r="N88" s="43" t="n"/>
      <c r="O88" s="47" t="n"/>
      <c r="P88" s="46" t="n"/>
      <c r="Q88" s="43" t="n"/>
      <c r="R88" s="49">
        <f t="array" ref="R88:R88">IF(AND(ISNUMBER(P88),ISNUMBER(Q88)),EDATE((TRUE()+(0*7+IF(P88&gt;60,P88-1,P88))),Q88),"")</f>
        <v/>
      </c>
      <c r="S88" s="43" t="n"/>
      <c r="T88" s="43" t="n"/>
    </row>
    <row r="89" ht="15" customHeight="1" s="35">
      <c r="A89" s="43" t="inlineStr">
        <is>
          <t>ETC-007</t>
        </is>
      </c>
      <c r="B89" s="43" t="n"/>
      <c r="C89" s="43" t="n"/>
      <c r="D89" s="43" t="n"/>
      <c r="E89" s="50" t="inlineStr">
        <is>
          <t>기타(ETC)</t>
        </is>
      </c>
      <c r="F89" s="50" t="inlineStr">
        <is>
          <t>무게추</t>
        </is>
      </c>
      <c r="G89" s="51" t="inlineStr">
        <is>
          <t>샌드백 7kg</t>
        </is>
      </c>
      <c r="H89" s="43" t="n"/>
      <c r="I89" s="50" t="inlineStr">
        <is>
          <t>샌드백 (7kg)</t>
        </is>
      </c>
      <c r="J89" s="43" t="n"/>
      <c r="K89" s="53" t="inlineStr">
        <is>
          <t>정상</t>
        </is>
      </c>
      <c r="L89" s="43" t="n"/>
      <c r="M89" s="46" t="n"/>
      <c r="N89" s="43" t="n"/>
      <c r="O89" s="47" t="n"/>
      <c r="P89" s="46" t="n"/>
      <c r="Q89" s="43" t="n"/>
      <c r="R89" s="49">
        <f t="array" ref="R89:R89">IF(AND(ISNUMBER(P89),ISNUMBER(Q89)),EDATE((TRUE()+(0*7+IF(P89&gt;60,P89-1,P89))),Q89),"")</f>
        <v/>
      </c>
      <c r="S89" s="43" t="n"/>
      <c r="T89" s="43" t="n"/>
    </row>
    <row r="90" ht="15" customHeight="1" s="35">
      <c r="A90" s="43" t="inlineStr">
        <is>
          <t>ETC-008</t>
        </is>
      </c>
      <c r="B90" s="43" t="n"/>
      <c r="C90" s="43" t="n"/>
      <c r="D90" s="43" t="n"/>
      <c r="E90" s="50" t="inlineStr">
        <is>
          <t>기타(ETC)</t>
        </is>
      </c>
      <c r="F90" s="50" t="inlineStr">
        <is>
          <t>무게추</t>
        </is>
      </c>
      <c r="G90" s="51" t="inlineStr">
        <is>
          <t>샌드백 7kg</t>
        </is>
      </c>
      <c r="H90" s="43" t="n"/>
      <c r="I90" s="50" t="inlineStr">
        <is>
          <t>샌드백 (7kg)</t>
        </is>
      </c>
      <c r="J90" s="43" t="n"/>
      <c r="K90" s="53" t="inlineStr">
        <is>
          <t>정상</t>
        </is>
      </c>
      <c r="L90" s="43" t="n"/>
      <c r="M90" s="46" t="n"/>
      <c r="N90" s="43" t="n"/>
      <c r="O90" s="47" t="n"/>
      <c r="P90" s="46" t="n"/>
      <c r="Q90" s="43" t="n"/>
      <c r="R90" s="49">
        <f t="array" ref="R90:R90">IF(AND(ISNUMBER(P90),ISNUMBER(Q90)),EDATE((TRUE()+(0*7+IF(P90&gt;60,P90-1,P90))),Q90),"")</f>
        <v/>
      </c>
      <c r="S90" s="43" t="n"/>
      <c r="T90" s="43" t="n"/>
    </row>
    <row r="91" ht="15" customHeight="1" s="35">
      <c r="A91" s="43" t="inlineStr">
        <is>
          <t>ETC-009</t>
        </is>
      </c>
      <c r="B91" s="43" t="n"/>
      <c r="C91" s="43" t="n"/>
      <c r="D91" s="43" t="n"/>
      <c r="E91" s="50" t="inlineStr">
        <is>
          <t>기타(ETC)</t>
        </is>
      </c>
      <c r="F91" s="54" t="inlineStr">
        <is>
          <t>스탠드 바퀴</t>
        </is>
      </c>
      <c r="G91" s="55" t="inlineStr">
        <is>
          <t>C-Stand-DW3</t>
        </is>
      </c>
      <c r="H91" s="42" t="inlineStr">
        <is>
          <t>HORUBENNU</t>
        </is>
      </c>
      <c r="I91" s="55" t="inlineStr">
        <is>
          <t>C 스탠드 바퀴</t>
        </is>
      </c>
      <c r="J91" s="43" t="n"/>
      <c r="K91" s="53" t="inlineStr">
        <is>
          <t>정상</t>
        </is>
      </c>
      <c r="L91" s="43" t="n"/>
      <c r="M91" s="46" t="n"/>
      <c r="N91" s="43" t="n"/>
      <c r="O91" s="47" t="n"/>
      <c r="P91" s="46" t="n"/>
      <c r="Q91" s="43" t="n"/>
      <c r="R91" s="49">
        <f t="array" ref="R91:R91">IF(AND(ISNUMBER(P91),ISNUMBER(Q91)),EDATE((TRUE()+(0*7+IF(P91&gt;60,P91-1,P91))),Q91),"")</f>
        <v/>
      </c>
      <c r="S91" s="43" t="n"/>
      <c r="T91" s="43" t="n"/>
    </row>
    <row r="92" ht="15" customHeight="1" s="35">
      <c r="A92" s="43" t="inlineStr">
        <is>
          <t>ETC-010</t>
        </is>
      </c>
      <c r="B92" s="43" t="n"/>
      <c r="C92" s="43" t="n"/>
      <c r="D92" s="43" t="n"/>
      <c r="E92" s="50" t="inlineStr">
        <is>
          <t>기타(ETC)</t>
        </is>
      </c>
      <c r="F92" s="54" t="inlineStr">
        <is>
          <t>스탠드 바퀴</t>
        </is>
      </c>
      <c r="G92" s="42" t="inlineStr">
        <is>
          <t>A-Stand-PW-3</t>
        </is>
      </c>
      <c r="H92" s="42" t="inlineStr">
        <is>
          <t>HORUBENNU</t>
        </is>
      </c>
      <c r="I92" s="42" t="inlineStr">
        <is>
          <t>A 스탠드 바퀴</t>
        </is>
      </c>
      <c r="J92" s="43" t="n"/>
      <c r="K92" s="53" t="inlineStr">
        <is>
          <t>정상</t>
        </is>
      </c>
      <c r="L92" s="43" t="n"/>
      <c r="M92" s="46" t="n"/>
      <c r="N92" s="43" t="n"/>
      <c r="O92" s="47" t="n"/>
      <c r="P92" s="46" t="n"/>
      <c r="Q92" s="43" t="n"/>
      <c r="R92" s="49">
        <f t="array" ref="R92:R92">IF(AND(ISNUMBER(P92),ISNUMBER(Q92)),EDATE((TRUE()+(0*7+IF(P92&gt;60,P92-1,P92))),Q92),"")</f>
        <v/>
      </c>
      <c r="S92" s="43" t="n"/>
      <c r="T92" s="43" t="n"/>
    </row>
    <row r="93" ht="15" customHeight="1" s="35">
      <c r="A93" s="43" t="inlineStr">
        <is>
          <t>ETC-011</t>
        </is>
      </c>
      <c r="B93" s="43" t="n"/>
      <c r="C93" s="43" t="n"/>
      <c r="D93" s="43" t="n"/>
      <c r="E93" s="53" t="inlineStr">
        <is>
          <t>기타(ETC)</t>
        </is>
      </c>
      <c r="F93" s="50" t="inlineStr">
        <is>
          <t>스위처</t>
        </is>
      </c>
      <c r="G93" s="42" t="inlineStr">
        <is>
          <t>Atem mini pro iso</t>
        </is>
      </c>
      <c r="H93" s="42" t="inlineStr">
        <is>
          <t>Black magic Design</t>
        </is>
      </c>
      <c r="I93" s="42" t="inlineStr">
        <is>
          <t>Atem mini</t>
        </is>
      </c>
      <c r="J93" s="43" t="n"/>
      <c r="K93" s="53" t="inlineStr">
        <is>
          <t>정상</t>
        </is>
      </c>
      <c r="L93" s="43" t="n"/>
      <c r="M93" s="46" t="n"/>
      <c r="N93" s="43" t="n"/>
      <c r="O93" s="47" t="n"/>
      <c r="P93" s="46" t="n"/>
      <c r="Q93" s="43" t="n"/>
      <c r="R93" s="49">
        <f t="array" ref="R93:R93">IF(AND(ISNUMBER(P93),ISNUMBER(Q93)),EDATE((TRUE()+(0*7+IF(P93&gt;60,P93-1,P93))),Q93),"")</f>
        <v/>
      </c>
      <c r="S93" s="43" t="n"/>
      <c r="T93" s="51" t="inlineStr">
        <is>
          <t>스위처류 늘어나면 VID 카테고리 신설 검토</t>
        </is>
      </c>
    </row>
    <row r="94" ht="15" customHeight="1" s="35">
      <c r="A94" s="43" t="inlineStr">
        <is>
          <t>ACC-008</t>
        </is>
      </c>
      <c r="B94" s="43" t="n"/>
      <c r="C94" s="43" t="n"/>
      <c r="D94" s="43" t="n"/>
      <c r="E94" s="53" t="inlineStr">
        <is>
          <t>액세서리(ACC)</t>
        </is>
      </c>
      <c r="F94" s="50" t="inlineStr">
        <is>
          <t>카메라 필터</t>
        </is>
      </c>
      <c r="G94" s="42" t="inlineStr">
        <is>
          <t>ND Filter 82mm Pro 1 - 5 Stop</t>
        </is>
      </c>
      <c r="H94" s="43" t="n"/>
      <c r="I94" s="43" t="n"/>
      <c r="J94" s="43" t="n"/>
      <c r="K94" s="53" t="inlineStr">
        <is>
          <t>정상</t>
        </is>
      </c>
      <c r="L94" s="43" t="n"/>
      <c r="M94" s="46" t="n"/>
      <c r="N94" s="43" t="n"/>
      <c r="O94" s="47" t="n"/>
      <c r="P94" s="46" t="n"/>
      <c r="Q94" s="43" t="n"/>
      <c r="R94" s="49">
        <f t="array" ref="R94:R94">IF(AND(ISNUMBER(P94),ISNUMBER(Q94)),EDATE((TRUE()+(0*7+IF(P94&gt;60,P94-1,P94))),Q94),"")</f>
        <v/>
      </c>
      <c r="S94" s="43" t="n"/>
      <c r="T94" s="43" t="n"/>
    </row>
    <row r="95" ht="15" customHeight="1" s="35">
      <c r="A95" s="43" t="inlineStr">
        <is>
          <t>ACC-009</t>
        </is>
      </c>
      <c r="B95" s="43" t="n"/>
      <c r="C95" s="43" t="n"/>
      <c r="D95" s="43" t="n"/>
      <c r="E95" s="53" t="inlineStr">
        <is>
          <t>액세서리(ACC)</t>
        </is>
      </c>
      <c r="F95" s="50" t="inlineStr">
        <is>
          <t>카메라 필터</t>
        </is>
      </c>
      <c r="G95" s="42" t="inlineStr">
        <is>
          <t>ND Filter 82mm ND2 - 400</t>
        </is>
      </c>
      <c r="H95" s="43" t="n"/>
      <c r="I95" s="43" t="n"/>
      <c r="J95" s="43" t="n"/>
      <c r="K95" s="53" t="inlineStr">
        <is>
          <t>정상</t>
        </is>
      </c>
      <c r="L95" s="43" t="n"/>
      <c r="M95" s="46" t="n"/>
      <c r="N95" s="43" t="n"/>
      <c r="O95" s="47" t="n"/>
      <c r="P95" s="46" t="n"/>
      <c r="Q95" s="43" t="n"/>
      <c r="R95" s="49">
        <f t="array" ref="R95:R95">IF(AND(ISNUMBER(P95),ISNUMBER(Q95)),EDATE((TRUE()+(0*7+IF(P95&gt;60,P95-1,P95))),Q95),"")</f>
        <v/>
      </c>
      <c r="S95" s="43" t="n"/>
      <c r="T95" s="43" t="n"/>
    </row>
    <row r="96" ht="24" customHeight="1" s="35">
      <c r="A96" s="43" t="inlineStr">
        <is>
          <t>ACC-010</t>
        </is>
      </c>
      <c r="B96" s="43" t="n"/>
      <c r="C96" s="43" t="n"/>
      <c r="D96" s="43" t="n"/>
      <c r="E96" s="53" t="inlineStr">
        <is>
          <t>액세서리(ACC)</t>
        </is>
      </c>
      <c r="F96" s="50" t="inlineStr">
        <is>
          <t>카메라 필터</t>
        </is>
      </c>
      <c r="G96" s="42" t="inlineStr">
        <is>
          <t>NANO-X Magnetic MRC Black Diffusion 1/8</t>
        </is>
      </c>
      <c r="H96" s="42" t="inlineStr">
        <is>
          <t>K&amp;F Concept</t>
        </is>
      </c>
      <c r="I96" s="42" t="inlineStr">
        <is>
          <t>Black Diffusion 1/8</t>
        </is>
      </c>
      <c r="J96" s="43" t="n"/>
      <c r="K96" s="53" t="inlineStr">
        <is>
          <t>정상</t>
        </is>
      </c>
      <c r="L96" s="43" t="n"/>
      <c r="M96" s="46" t="n"/>
      <c r="N96" s="43" t="n"/>
      <c r="O96" s="47" t="n"/>
      <c r="P96" s="46" t="n"/>
      <c r="Q96" s="43" t="n"/>
      <c r="R96" s="49">
        <f t="array" ref="R96:R96">IF(AND(ISNUMBER(P96),ISNUMBER(Q96)),EDATE((TRUE()+(0*7+IF(P96&gt;60,P96-1,P96))),Q96),"")</f>
        <v/>
      </c>
      <c r="S96" s="43" t="n"/>
      <c r="T96" s="43" t="n"/>
    </row>
    <row r="97" ht="24" customHeight="1" s="35">
      <c r="A97" s="43" t="inlineStr">
        <is>
          <t>ACC-011</t>
        </is>
      </c>
      <c r="B97" s="43" t="n"/>
      <c r="C97" s="43" t="n"/>
      <c r="D97" s="43" t="n"/>
      <c r="E97" s="53" t="inlineStr">
        <is>
          <t>액세서리(ACC)</t>
        </is>
      </c>
      <c r="F97" s="50" t="inlineStr">
        <is>
          <t>카메라 필터</t>
        </is>
      </c>
      <c r="G97" s="42" t="inlineStr">
        <is>
          <t>NANO-X Magnetic MRC Black Diffusion 1/4</t>
        </is>
      </c>
      <c r="H97" s="42" t="inlineStr">
        <is>
          <t>K&amp;F Concept</t>
        </is>
      </c>
      <c r="I97" s="42" t="inlineStr">
        <is>
          <t>Black Diffusion 1/4</t>
        </is>
      </c>
      <c r="J97" s="43" t="n"/>
      <c r="K97" s="53" t="inlineStr">
        <is>
          <t>정상</t>
        </is>
      </c>
      <c r="L97" s="43" t="n"/>
      <c r="M97" s="46" t="n"/>
      <c r="N97" s="43" t="n"/>
      <c r="O97" s="47" t="n"/>
      <c r="P97" s="46" t="n"/>
      <c r="Q97" s="43" t="n"/>
      <c r="R97" s="49">
        <f t="array" ref="R97:R97">IF(AND(ISNUMBER(P97),ISNUMBER(Q97)),EDATE((TRUE()+(0*7+IF(P97&gt;60,P97-1,P97))),Q97),"")</f>
        <v/>
      </c>
      <c r="S97" s="43" t="n"/>
      <c r="T97" s="43" t="n"/>
    </row>
    <row r="98" ht="15" customHeight="1" s="35">
      <c r="A98" s="43" t="inlineStr">
        <is>
          <t>MON-003</t>
        </is>
      </c>
      <c r="B98" s="43" t="n"/>
      <c r="C98" s="43" t="n"/>
      <c r="D98" s="43" t="n"/>
      <c r="E98" s="53" t="inlineStr">
        <is>
          <t>외장 모니터(MON)</t>
        </is>
      </c>
      <c r="F98" s="50" t="inlineStr">
        <is>
          <t>카메라 확장 모니터</t>
        </is>
      </c>
      <c r="G98" s="42" t="inlineStr">
        <is>
          <t>Touch file monitor 6inch</t>
        </is>
      </c>
      <c r="H98" s="42" t="inlineStr">
        <is>
          <t>FEELWORLD</t>
        </is>
      </c>
      <c r="I98" s="42" t="inlineStr">
        <is>
          <t>6inch monitor</t>
        </is>
      </c>
      <c r="J98" s="43" t="n"/>
      <c r="K98" s="45" t="inlineStr">
        <is>
          <t>폐기</t>
        </is>
      </c>
      <c r="L98" s="43" t="n"/>
      <c r="M98" s="46" t="n"/>
      <c r="N98" s="43" t="n"/>
      <c r="O98" s="47" t="n"/>
      <c r="P98" s="46" t="n"/>
      <c r="Q98" s="43" t="n"/>
      <c r="R98" s="49">
        <f t="array" ref="R98:R98">IF(AND(ISNUMBER(P98),ISNUMBER(Q98)),EDATE((TRUE()+(0*7+IF(P98&gt;60,P98-1,P98))),Q98),"")</f>
        <v/>
      </c>
      <c r="S98" s="43" t="n"/>
      <c r="T98" s="51" t="inlineStr">
        <is>
          <t>폐기 상태 유지, 이력용</t>
        </is>
      </c>
    </row>
    <row r="99" ht="15" customHeight="1" s="35">
      <c r="A99" s="43" t="inlineStr">
        <is>
          <t>CAB-001</t>
        </is>
      </c>
      <c r="B99" s="43" t="n"/>
      <c r="C99" s="43" t="n"/>
      <c r="D99" s="43" t="n"/>
      <c r="E99" s="50" t="inlineStr">
        <is>
          <t>케이블(CAB)</t>
        </is>
      </c>
      <c r="F99" s="50" t="inlineStr">
        <is>
          <t>케이블</t>
        </is>
      </c>
      <c r="G99" s="50" t="inlineStr">
        <is>
          <t>하이브리드광 HDMI 2.0 [10m]</t>
        </is>
      </c>
      <c r="H99" s="43" t="n"/>
      <c r="I99" s="42" t="inlineStr">
        <is>
          <t>HDMI 10m</t>
        </is>
      </c>
      <c r="J99" s="43" t="n"/>
      <c r="K99" s="45" t="inlineStr">
        <is>
          <t>정상</t>
        </is>
      </c>
      <c r="L99" s="43" t="n"/>
      <c r="M99" s="46" t="n"/>
      <c r="N99" s="43" t="n"/>
      <c r="O99" s="47" t="n"/>
      <c r="P99" s="46" t="n"/>
      <c r="Q99" s="43" t="n"/>
      <c r="R99" s="49">
        <f t="array" ref="R99:R99">IF(AND(ISNUMBER(P99),ISNUMBER(Q99)),EDATE((TRUE()+(0*7+IF(P99&gt;60,P99-1,P99))),Q99),"")</f>
        <v/>
      </c>
      <c r="S99" s="43" t="n"/>
      <c r="T99" s="43" t="n"/>
    </row>
    <row r="100" ht="15" customHeight="1" s="35">
      <c r="A100" s="43" t="inlineStr">
        <is>
          <t>CAB-002</t>
        </is>
      </c>
      <c r="B100" s="43" t="n"/>
      <c r="C100" s="43" t="n"/>
      <c r="D100" s="43" t="n"/>
      <c r="E100" s="50" t="inlineStr">
        <is>
          <t>케이블(CAB)</t>
        </is>
      </c>
      <c r="F100" s="50" t="inlineStr">
        <is>
          <t>케이블</t>
        </is>
      </c>
      <c r="G100" s="50" t="inlineStr">
        <is>
          <t>하이브리드광 HDMI 2.0 [10m]</t>
        </is>
      </c>
      <c r="H100" s="43" t="n"/>
      <c r="I100" s="42" t="inlineStr">
        <is>
          <t>HDMI 10m</t>
        </is>
      </c>
      <c r="J100" s="43" t="n"/>
      <c r="K100" s="45" t="inlineStr">
        <is>
          <t>정상</t>
        </is>
      </c>
      <c r="L100" s="43" t="n"/>
      <c r="M100" s="46" t="n"/>
      <c r="N100" s="43" t="n"/>
      <c r="O100" s="47" t="n"/>
      <c r="P100" s="46" t="n"/>
      <c r="Q100" s="43" t="n"/>
      <c r="R100" s="49">
        <f t="array" ref="R100:R100">IF(AND(ISNUMBER(P100),ISNUMBER(Q100)),EDATE((TRUE()+(0*7+IF(P100&gt;60,P100-1,P100))),Q100),"")</f>
        <v/>
      </c>
      <c r="S100" s="43" t="n"/>
      <c r="T100" s="43" t="n"/>
    </row>
    <row r="101" ht="15" customHeight="1" s="35">
      <c r="A101" s="43" t="inlineStr">
        <is>
          <t>CAB-003</t>
        </is>
      </c>
      <c r="B101" s="43" t="n"/>
      <c r="C101" s="43" t="n"/>
      <c r="D101" s="43" t="n"/>
      <c r="E101" s="50" t="inlineStr">
        <is>
          <t>케이블(CAB)</t>
        </is>
      </c>
      <c r="F101" s="50" t="inlineStr">
        <is>
          <t>케이블</t>
        </is>
      </c>
      <c r="G101" s="50" t="inlineStr">
        <is>
          <t>하이브리드광 HDMI 2.0 [10m]</t>
        </is>
      </c>
      <c r="H101" s="43" t="n"/>
      <c r="I101" s="42" t="inlineStr">
        <is>
          <t>HDMI 10m</t>
        </is>
      </c>
      <c r="J101" s="43" t="n"/>
      <c r="K101" s="45" t="inlineStr">
        <is>
          <t>정상</t>
        </is>
      </c>
      <c r="L101" s="43" t="n"/>
      <c r="M101" s="46" t="n"/>
      <c r="N101" s="43" t="n"/>
      <c r="O101" s="47" t="n"/>
      <c r="P101" s="46" t="n"/>
      <c r="Q101" s="43" t="n"/>
      <c r="R101" s="49">
        <f t="array" ref="R101:R101">IF(AND(ISNUMBER(P101),ISNUMBER(Q101)),EDATE((TRUE()+(0*7+IF(P101&gt;60,P101-1,P101))),Q101),"")</f>
        <v/>
      </c>
      <c r="S101" s="43" t="n"/>
      <c r="T101" s="43" t="n"/>
    </row>
    <row r="102" ht="15" customHeight="1" s="35">
      <c r="A102" s="43" t="inlineStr">
        <is>
          <t>PWR-004</t>
        </is>
      </c>
      <c r="B102" s="50" t="inlineStr">
        <is>
          <t>배터리 그립</t>
        </is>
      </c>
      <c r="C102" s="43" t="n"/>
      <c r="D102" s="43" t="n"/>
      <c r="E102" s="50" t="inlineStr">
        <is>
          <t>충전기/전원(PWR)</t>
        </is>
      </c>
      <c r="F102" s="50" t="inlineStr">
        <is>
          <t>배터리 그립</t>
        </is>
      </c>
      <c r="G102" s="42" t="inlineStr">
        <is>
          <t>BH-FZ260-V</t>
        </is>
      </c>
      <c r="H102" s="42" t="inlineStr">
        <is>
          <t>NANLITE</t>
        </is>
      </c>
      <c r="I102" s="42" t="inlineStr">
        <is>
          <t>V마운트 배터리 그립</t>
        </is>
      </c>
      <c r="J102" s="43" t="n"/>
      <c r="K102" s="45" t="inlineStr">
        <is>
          <t>정상</t>
        </is>
      </c>
      <c r="L102" s="43" t="n"/>
      <c r="M102" s="46" t="n"/>
      <c r="N102" s="43" t="n"/>
      <c r="O102" s="47" t="n"/>
      <c r="P102" s="46" t="n"/>
      <c r="Q102" s="43" t="n"/>
      <c r="R102" s="49">
        <f t="array" ref="R102:R102">IF(AND(ISNUMBER(P102),ISNUMBER(Q102)),EDATE((TRUE()+(0*7+IF(P102&gt;60,P102-1,P102))),Q102),"")</f>
        <v/>
      </c>
      <c r="S102" s="43" t="n"/>
      <c r="T102" s="43" t="inlineStr">
        <is>
          <t>V마운트 배터리 그립 = 전원 공급 장치</t>
        </is>
      </c>
    </row>
    <row r="103" ht="15" customHeight="1" s="35">
      <c r="A103" s="43" t="inlineStr">
        <is>
          <t>PWR-005</t>
        </is>
      </c>
      <c r="B103" s="50" t="inlineStr">
        <is>
          <t>배터리 그립</t>
        </is>
      </c>
      <c r="C103" s="43" t="n"/>
      <c r="D103" s="43" t="n"/>
      <c r="E103" s="50" t="inlineStr">
        <is>
          <t>충전기/전원(PWR)</t>
        </is>
      </c>
      <c r="F103" s="50" t="inlineStr">
        <is>
          <t>배터리 그립</t>
        </is>
      </c>
      <c r="G103" s="42" t="inlineStr">
        <is>
          <t>BT-BG-V</t>
        </is>
      </c>
      <c r="H103" s="42" t="inlineStr">
        <is>
          <t>NANLITE</t>
        </is>
      </c>
      <c r="I103" s="42" t="inlineStr">
        <is>
          <t>V마운트 배터리 그립</t>
        </is>
      </c>
      <c r="J103" s="43" t="n"/>
      <c r="K103" s="45" t="inlineStr">
        <is>
          <t>정상</t>
        </is>
      </c>
      <c r="L103" s="43" t="n"/>
      <c r="M103" s="46" t="n"/>
      <c r="N103" s="43" t="n"/>
      <c r="O103" s="47" t="n"/>
      <c r="P103" s="46" t="n"/>
      <c r="Q103" s="43" t="n"/>
      <c r="R103" s="49">
        <f t="array" ref="R103:R103">IF(AND(ISNUMBER(P103),ISNUMBER(Q103)),EDATE((TRUE()+(0*7+IF(P103&gt;60,P103-1,P103))),Q103),"")</f>
        <v/>
      </c>
      <c r="S103" s="43" t="n"/>
      <c r="T103" s="43" t="inlineStr">
        <is>
          <t>V마운트 배터리 그립 = 전원 공급 장치</t>
        </is>
      </c>
    </row>
    <row r="104" ht="15" customHeight="1" s="35">
      <c r="A104" s="43" t="inlineStr">
        <is>
          <t>AUD-009</t>
        </is>
      </c>
      <c r="B104" s="43" t="n"/>
      <c r="C104" s="43" t="n"/>
      <c r="D104" s="43" t="n"/>
      <c r="E104" s="45" t="inlineStr">
        <is>
          <t>마이크/오디오(AUD)</t>
        </is>
      </c>
      <c r="F104" s="50" t="inlineStr">
        <is>
          <t>붐대</t>
        </is>
      </c>
      <c r="G104" s="51" t="inlineStr">
        <is>
          <t>붐대</t>
        </is>
      </c>
      <c r="H104" s="43" t="n"/>
      <c r="I104" s="43" t="n"/>
      <c r="J104" s="43" t="n"/>
      <c r="K104" s="45" t="inlineStr">
        <is>
          <t>정상</t>
        </is>
      </c>
      <c r="L104" s="43" t="n"/>
      <c r="M104" s="46" t="n"/>
      <c r="N104" s="43" t="n"/>
      <c r="O104" s="47" t="n"/>
      <c r="P104" s="46" t="n"/>
      <c r="Q104" s="43" t="n"/>
      <c r="R104" s="49">
        <f t="array" ref="R104:R104">IF(AND(ISNUMBER(P104),ISNUMBER(Q104)),EDATE((TRUE()+(0*7+IF(P104&gt;60,P104-1,P104))),Q104),"")</f>
        <v/>
      </c>
      <c r="S104" s="43" t="n"/>
      <c r="T104" s="43" t="n"/>
    </row>
    <row r="105" ht="15" customHeight="1" s="35">
      <c r="A105" s="43" t="inlineStr">
        <is>
          <t>AUD-010</t>
        </is>
      </c>
      <c r="B105" s="43" t="n"/>
      <c r="C105" s="43" t="n"/>
      <c r="D105" s="43" t="n"/>
      <c r="E105" s="45" t="inlineStr">
        <is>
          <t>마이크/오디오(AUD)</t>
        </is>
      </c>
      <c r="F105" s="50" t="inlineStr">
        <is>
          <t>스탠드 거치대</t>
        </is>
      </c>
      <c r="G105" s="51" t="inlineStr">
        <is>
          <t>마이크 스탠드 거치대</t>
        </is>
      </c>
      <c r="H105" s="43" t="n"/>
      <c r="I105" s="43" t="n"/>
      <c r="J105" s="43" t="n"/>
      <c r="K105" s="45" t="inlineStr">
        <is>
          <t>정상</t>
        </is>
      </c>
      <c r="L105" s="43" t="n"/>
      <c r="M105" s="46" t="n"/>
      <c r="N105" s="43" t="n"/>
      <c r="O105" s="47" t="n"/>
      <c r="P105" s="46" t="n"/>
      <c r="Q105" s="43" t="n"/>
      <c r="R105" s="49">
        <f t="array" ref="R105:R105">IF(AND(ISNUMBER(P105),ISNUMBER(Q105)),EDATE((TRUE()+(0*7+IF(P105&gt;60,P105-1,P105))),Q105),"")</f>
        <v/>
      </c>
      <c r="S105" s="43" t="n"/>
      <c r="T105" s="43" t="n"/>
    </row>
    <row r="106" ht="15" customHeight="1" s="35">
      <c r="A106" s="43" t="inlineStr">
        <is>
          <t>ACC-012</t>
        </is>
      </c>
      <c r="B106" s="43" t="n"/>
      <c r="C106" s="43" t="n"/>
      <c r="D106" s="43" t="n"/>
      <c r="E106" s="50" t="inlineStr">
        <is>
          <t>액세서리(ACC)</t>
        </is>
      </c>
      <c r="F106" s="50" t="inlineStr">
        <is>
          <t>클램프</t>
        </is>
      </c>
      <c r="G106" s="42" t="inlineStr">
        <is>
          <t>A 클램프 9인치</t>
        </is>
      </c>
      <c r="H106" s="42" t="inlineStr">
        <is>
          <t>VALENS</t>
        </is>
      </c>
      <c r="I106" s="42" t="inlineStr">
        <is>
          <t>A클램프</t>
        </is>
      </c>
      <c r="J106" s="43" t="n"/>
      <c r="K106" s="45" t="inlineStr">
        <is>
          <t>정상</t>
        </is>
      </c>
      <c r="L106" s="43" t="n"/>
      <c r="M106" s="46" t="n"/>
      <c r="N106" s="43" t="n"/>
      <c r="O106" s="47" t="n"/>
      <c r="P106" s="46" t="n"/>
      <c r="Q106" s="43" t="n"/>
      <c r="R106" s="49">
        <f t="array" ref="R106:R106">IF(AND(ISNUMBER(P106),ISNUMBER(Q106)),EDATE((TRUE()+(0*7+IF(P106&gt;60,P106-1,P106))),Q106),"")</f>
        <v/>
      </c>
      <c r="S106" s="43" t="n"/>
      <c r="T106" s="43" t="n"/>
    </row>
    <row r="107" ht="15" customHeight="1" s="35">
      <c r="A107" s="43" t="inlineStr">
        <is>
          <t>ACC-013</t>
        </is>
      </c>
      <c r="B107" s="43" t="n"/>
      <c r="C107" s="43" t="n"/>
      <c r="D107" s="43" t="n"/>
      <c r="E107" s="50" t="inlineStr">
        <is>
          <t>액세서리(ACC)</t>
        </is>
      </c>
      <c r="F107" s="50" t="inlineStr">
        <is>
          <t>클램프</t>
        </is>
      </c>
      <c r="G107" s="42" t="inlineStr">
        <is>
          <t>A 클램프 6인치</t>
        </is>
      </c>
      <c r="H107" s="42" t="inlineStr">
        <is>
          <t>VALENS</t>
        </is>
      </c>
      <c r="I107" s="42" t="inlineStr">
        <is>
          <t>A클램프</t>
        </is>
      </c>
      <c r="J107" s="43" t="n"/>
      <c r="K107" s="45" t="inlineStr">
        <is>
          <t>정상</t>
        </is>
      </c>
      <c r="L107" s="43" t="n"/>
      <c r="M107" s="46" t="n"/>
      <c r="N107" s="43" t="n"/>
      <c r="O107" s="47" t="n"/>
      <c r="P107" s="46" t="n"/>
      <c r="Q107" s="43" t="n"/>
      <c r="R107" s="49">
        <f t="array" ref="R107:R107">IF(AND(ISNUMBER(P107),ISNUMBER(Q107)),EDATE((TRUE()+(0*7+IF(P107&gt;60,P107-1,P107))),Q107),"")</f>
        <v/>
      </c>
      <c r="S107" s="43" t="n"/>
      <c r="T107" s="43" t="n"/>
    </row>
    <row r="108" ht="15" customHeight="1" s="35">
      <c r="A108" s="43" t="inlineStr">
        <is>
          <t>ACC-014</t>
        </is>
      </c>
      <c r="B108" s="43" t="n"/>
      <c r="C108" s="43" t="n"/>
      <c r="D108" s="43" t="n"/>
      <c r="E108" s="50" t="inlineStr">
        <is>
          <t>액세서리(ACC)</t>
        </is>
      </c>
      <c r="F108" s="50" t="inlineStr">
        <is>
          <t>클램프</t>
        </is>
      </c>
      <c r="G108" s="42" t="inlineStr">
        <is>
          <t>A 클램프 6인치</t>
        </is>
      </c>
      <c r="H108" s="42" t="inlineStr">
        <is>
          <t>VALENS</t>
        </is>
      </c>
      <c r="I108" s="42" t="inlineStr">
        <is>
          <t>A클램프</t>
        </is>
      </c>
      <c r="J108" s="43" t="n"/>
      <c r="K108" s="45" t="inlineStr">
        <is>
          <t>정상</t>
        </is>
      </c>
      <c r="L108" s="43" t="n"/>
      <c r="M108" s="46" t="n"/>
      <c r="N108" s="43" t="n"/>
      <c r="O108" s="47" t="n"/>
      <c r="P108" s="46" t="n"/>
      <c r="Q108" s="43" t="n"/>
      <c r="R108" s="49">
        <f t="array" ref="R108:R108">IF(AND(ISNUMBER(P108),ISNUMBER(Q108)),EDATE((TRUE()+(0*7+IF(P108&gt;60,P108-1,P108))),Q108),"")</f>
        <v/>
      </c>
      <c r="S108" s="43" t="n"/>
      <c r="T108" s="43" t="n"/>
    </row>
    <row r="109" ht="15" customHeight="1" s="35">
      <c r="A109" s="43" t="inlineStr">
        <is>
          <t>ACC-015</t>
        </is>
      </c>
      <c r="B109" s="43" t="n"/>
      <c r="C109" s="43" t="n"/>
      <c r="D109" s="43" t="n"/>
      <c r="E109" s="50" t="inlineStr">
        <is>
          <t>액세서리(ACC)</t>
        </is>
      </c>
      <c r="F109" s="43" t="n"/>
      <c r="G109" s="50" t="inlineStr">
        <is>
          <t>크로마키</t>
        </is>
      </c>
      <c r="H109" s="43" t="n"/>
      <c r="I109" s="43" t="n"/>
      <c r="J109" s="43" t="n"/>
      <c r="K109" s="45" t="inlineStr">
        <is>
          <t>정상</t>
        </is>
      </c>
      <c r="L109" s="43" t="n"/>
      <c r="M109" s="46" t="n"/>
      <c r="N109" s="43" t="n"/>
      <c r="O109" s="47" t="n"/>
      <c r="P109" s="46" t="n"/>
      <c r="Q109" s="43" t="n"/>
      <c r="R109" s="49">
        <f t="array" ref="R109:R109">IF(AND(ISNUMBER(P109),ISNUMBER(Q109)),EDATE((TRUE()+(0*7+IF(P109&gt;60,P109-1,P109))),Q109),"")</f>
        <v/>
      </c>
      <c r="S109" s="43" t="n"/>
      <c r="T109" s="51" t="inlineStr">
        <is>
          <t>크로마키 배경</t>
        </is>
      </c>
    </row>
    <row r="110" ht="24" customHeight="1" s="35">
      <c r="A110" s="43" t="inlineStr">
        <is>
          <t>CAB-004</t>
        </is>
      </c>
      <c r="B110" s="43" t="n"/>
      <c r="C110" s="43" t="n"/>
      <c r="D110" s="43" t="n"/>
      <c r="E110" s="50" t="inlineStr">
        <is>
          <t>케이블(CAB)</t>
        </is>
      </c>
      <c r="F110" s="50" t="inlineStr">
        <is>
          <t>오디오 케이블</t>
        </is>
      </c>
      <c r="G110" s="42" t="inlineStr">
        <is>
          <t>NIVE AUDIO NA-009 MARK 2 MICROPHONE CABLE [3m]</t>
        </is>
      </c>
      <c r="H110" s="42" t="inlineStr">
        <is>
          <t>MICTECH</t>
        </is>
      </c>
      <c r="I110" s="50" t="inlineStr">
        <is>
          <t>오디오 케이블 3m</t>
        </is>
      </c>
      <c r="J110" s="43" t="n"/>
      <c r="K110" s="45" t="inlineStr">
        <is>
          <t>정상</t>
        </is>
      </c>
      <c r="L110" s="43" t="n"/>
      <c r="M110" s="46" t="n"/>
      <c r="N110" s="43" t="n"/>
      <c r="O110" s="47" t="n"/>
      <c r="P110" s="46" t="n"/>
      <c r="Q110" s="43" t="n"/>
      <c r="R110" s="49">
        <f t="array" ref="R110:R110">IF(AND(ISNUMBER(P110),ISNUMBER(Q110)),EDATE((TRUE()+(0*7+IF(P110&gt;60,P110-1,P110))),Q110),"")</f>
        <v/>
      </c>
      <c r="S110" s="43" t="n"/>
      <c r="T110" s="43" t="inlineStr">
        <is>
          <t>XLR 오디오 케이블은 CAB로 분류 (AUD→CAB)</t>
        </is>
      </c>
    </row>
    <row r="111" ht="24" customHeight="1" s="35">
      <c r="A111" s="43" t="inlineStr">
        <is>
          <t>CAB-005</t>
        </is>
      </c>
      <c r="B111" s="43" t="n"/>
      <c r="C111" s="43" t="n"/>
      <c r="D111" s="43" t="n"/>
      <c r="E111" s="50" t="inlineStr">
        <is>
          <t>케이블(CAB)</t>
        </is>
      </c>
      <c r="F111" s="50" t="inlineStr">
        <is>
          <t>오디오 케이블</t>
        </is>
      </c>
      <c r="G111" s="42" t="inlineStr">
        <is>
          <t>SG ELECTRONICS MICROPHONE CABLE [5m]</t>
        </is>
      </c>
      <c r="H111" s="42" t="inlineStr">
        <is>
          <t>ELECTRONICS</t>
        </is>
      </c>
      <c r="I111" s="50" t="inlineStr">
        <is>
          <t>오디오 케이블 5m</t>
        </is>
      </c>
      <c r="J111" s="43" t="n"/>
      <c r="K111" s="45" t="inlineStr">
        <is>
          <t>정상</t>
        </is>
      </c>
      <c r="L111" s="43" t="n"/>
      <c r="M111" s="46" t="n"/>
      <c r="N111" s="43" t="n"/>
      <c r="O111" s="47" t="n"/>
      <c r="P111" s="46" t="n"/>
      <c r="Q111" s="43" t="n"/>
      <c r="R111" s="49">
        <f t="array" ref="R111:R111">IF(AND(ISNUMBER(P111),ISNUMBER(Q111)),EDATE((TRUE()+(0*7+IF(P111&gt;60,P111-1,P111))),Q111),"")</f>
        <v/>
      </c>
      <c r="S111" s="43" t="n"/>
      <c r="T111" s="43" t="inlineStr">
        <is>
          <t>XLR 오디오 케이블은 CAB로 분류 (AUD→CAB)</t>
        </is>
      </c>
    </row>
    <row r="112" ht="15" customHeight="1" s="35">
      <c r="A112" s="43" t="inlineStr">
        <is>
          <t>AUD-011</t>
        </is>
      </c>
      <c r="B112" s="43" t="n"/>
      <c r="C112" s="43" t="n"/>
      <c r="D112" s="43" t="n"/>
      <c r="E112" s="45" t="inlineStr">
        <is>
          <t>마이크/오디오(AUD)</t>
        </is>
      </c>
      <c r="F112" s="50" t="inlineStr">
        <is>
          <t>오디오 거치대</t>
        </is>
      </c>
      <c r="G112" s="50" t="inlineStr">
        <is>
          <t>폴대 지지대</t>
        </is>
      </c>
      <c r="H112" s="49" t="n"/>
      <c r="I112" s="50" t="inlineStr">
        <is>
          <t>폴대 지지대</t>
        </is>
      </c>
      <c r="J112" s="43" t="n"/>
      <c r="K112" s="45" t="inlineStr">
        <is>
          <t>정상</t>
        </is>
      </c>
      <c r="L112" s="43" t="n"/>
      <c r="M112" s="46" t="n"/>
      <c r="N112" s="43" t="n"/>
      <c r="O112" s="47" t="n"/>
      <c r="P112" s="46" t="n"/>
      <c r="Q112" s="43" t="n"/>
      <c r="R112" s="49">
        <f t="array" ref="R112:R112">IF(AND(ISNUMBER(P112),ISNUMBER(Q112)),EDATE((TRUE()+(0*7+IF(P112&gt;60,P112-1,P112))),Q112),"")</f>
        <v/>
      </c>
      <c r="S112" s="43" t="n"/>
      <c r="T112" s="43" t="n"/>
    </row>
    <row r="113" ht="15" customHeight="1" s="35">
      <c r="A113" s="43" t="inlineStr">
        <is>
          <t>AUD-012</t>
        </is>
      </c>
      <c r="B113" s="43" t="n"/>
      <c r="C113" s="43" t="n"/>
      <c r="D113" s="43" t="n"/>
      <c r="E113" s="45" t="inlineStr">
        <is>
          <t>마이크/오디오(AUD)</t>
        </is>
      </c>
      <c r="F113" s="50" t="inlineStr">
        <is>
          <t>오디오 붐대</t>
        </is>
      </c>
      <c r="G113" s="42" t="inlineStr">
        <is>
          <t>Boompole Pro</t>
        </is>
      </c>
      <c r="H113" s="42" t="inlineStr">
        <is>
          <t>RODE</t>
        </is>
      </c>
      <c r="I113" s="42" t="inlineStr">
        <is>
          <t>Boompole pro</t>
        </is>
      </c>
      <c r="J113" s="43" t="n"/>
      <c r="K113" s="45" t="inlineStr">
        <is>
          <t>정상</t>
        </is>
      </c>
      <c r="L113" s="43" t="n"/>
      <c r="M113" s="46" t="n"/>
      <c r="N113" s="43" t="n"/>
      <c r="O113" s="47" t="n"/>
      <c r="P113" s="46" t="n"/>
      <c r="Q113" s="43" t="n"/>
      <c r="R113" s="49">
        <f t="array" ref="R113:R113">IF(AND(ISNUMBER(P113),ISNUMBER(Q113)),EDATE((TRUE()+(0*7+IF(P113&gt;60,P113-1,P113))),Q113),"")</f>
        <v/>
      </c>
      <c r="S113" s="43" t="n"/>
      <c r="T113" s="43" t="n"/>
    </row>
    <row r="114" ht="15" customHeight="1" s="35">
      <c r="A114" s="43" t="n"/>
      <c r="B114" s="43" t="n"/>
      <c r="C114" s="43" t="n"/>
      <c r="D114" s="43" t="n"/>
      <c r="E114" s="45" t="n"/>
      <c r="F114" s="43" t="n"/>
      <c r="G114" s="49" t="n"/>
      <c r="H114" s="49" t="n"/>
      <c r="I114" s="49" t="n"/>
      <c r="J114" s="43" t="n"/>
      <c r="K114" s="45" t="inlineStr">
        <is>
          <t>정상</t>
        </is>
      </c>
      <c r="L114" s="43" t="n"/>
      <c r="M114" s="46" t="n"/>
      <c r="N114" s="43" t="n"/>
      <c r="O114" s="47" t="n"/>
      <c r="P114" s="46" t="n"/>
      <c r="Q114" s="43" t="n"/>
      <c r="R114" s="49">
        <f t="array" ref="R114:R114">IF(AND(ISNUMBER(P114),ISNUMBER(Q114)),EDATE((TRUE()+(0*7+IF(P114&gt;60,P114-1,P114))),Q114),"")</f>
        <v/>
      </c>
      <c r="S114" s="43" t="n"/>
      <c r="T114" s="43" t="n"/>
    </row>
  </sheetData>
  <conditionalFormatting sqref="O2:O114">
    <cfRule type="cellIs" rank="0" priority="2" equalAverage="0" operator="lessThan" aboveAverage="0" dxfId="0" text="" percent="0" bottom="0">
      <formula>0</formula>
    </cfRule>
  </conditionalFormatting>
  <dataValidations count="2">
    <dataValidation sqref="K2:K114" showDropDown="0" showInputMessage="1" showErrorMessage="1" allowBlank="1" type="list" errorStyle="stop" operator="between">
      <formula1>"정상,수리중,수리필요,점검필요,대여중,분실,폐기"</formula1>
      <formula2>0</formula2>
    </dataValidation>
    <dataValidation sqref="E2:E200" showDropDown="0" showInputMessage="0" showErrorMessage="0" allowBlank="1" type="list" errorStyle="stop" operator="between">
      <formula1>"카메라 본체(CAM),렌즈(LEN),조명(LIT),조명 모디파이어(MOD),스탠드(STD),삼각대(TRP),짐벌(GIM),리그/그립(RIG),마이크/오디오(AUD),녹음기(REC),외장 모니터(MON),배터리(BAT),충전기/전원(PWR),저장매체(STO),케이블(CAB),액세서리(ACC),케이스/가방(CAS),기타(ETC)"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05555555556"/>
  <pageSetup orientation="portrait" paperSize="1" scale="100" fitToHeight="1" fitToWidth="1" pageOrder="downThenOver" blackAndWhite="0" draft="0" horizontalDpi="300" verticalDpi="300" copies="1"/>
  <headerFooter differentOddEven="0" differentFirst="0"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style="35" min="1" max="1"/>
    <col width="20" customWidth="1" style="35" min="2" max="2"/>
    <col width="28" customWidth="1" style="35" min="3" max="3"/>
    <col width="9" customWidth="1" style="35" min="4" max="4"/>
    <col width="9" customWidth="1" style="35" min="5" max="5"/>
    <col width="9" customWidth="1" style="35" min="6" max="6"/>
    <col width="11" customWidth="1" style="35" min="7" max="7"/>
    <col width="11" customWidth="1" style="35" min="8" max="8"/>
    <col width="10" customWidth="1" style="35" min="9" max="9"/>
    <col width="14" customWidth="1" style="35" min="10" max="10"/>
    <col width="11" customWidth="1" style="35" min="11" max="11"/>
    <col width="14" customWidth="1" style="35" min="12" max="12"/>
    <col width="34" customWidth="1" style="35" min="13" max="13"/>
  </cols>
  <sheetData>
    <row r="1" ht="32" customHeight="1" s="35">
      <c r="A1" s="56" t="inlineStr">
        <is>
          <t>자산번호</t>
        </is>
      </c>
      <c r="B1" s="56" t="inlineStr">
        <is>
          <t>카테고리</t>
        </is>
      </c>
      <c r="C1" s="56" t="inlineStr">
        <is>
          <t>제품명</t>
        </is>
      </c>
      <c r="D1" s="56" t="inlineStr">
        <is>
          <t>폭 W(m)</t>
        </is>
      </c>
      <c r="E1" s="56" t="inlineStr">
        <is>
          <t>깊이 D(m)</t>
        </is>
      </c>
      <c r="F1" s="56" t="inlineStr">
        <is>
          <t>높이 H(m)</t>
        </is>
      </c>
      <c r="G1" s="56" t="inlineStr">
        <is>
          <t>최소높이(m)</t>
        </is>
      </c>
      <c r="H1" s="56" t="inlineStr">
        <is>
          <t>최대높이(m)</t>
        </is>
      </c>
      <c r="I1" s="56" t="inlineStr">
        <is>
          <t>조절폭(m)</t>
        </is>
      </c>
      <c r="J1" s="56" t="inlineStr">
        <is>
          <t>기본 설치높이(m)</t>
        </is>
      </c>
      <c r="K1" s="56" t="inlineStr">
        <is>
          <t>치수 출처</t>
        </is>
      </c>
      <c r="L1" s="56" t="inlineStr">
        <is>
          <t>적용 규칙</t>
        </is>
      </c>
      <c r="M1" s="56" t="inlineStr">
        <is>
          <t>근거</t>
        </is>
      </c>
    </row>
    <row r="2">
      <c r="A2" s="57" t="inlineStr">
        <is>
          <t>CAM-001</t>
        </is>
      </c>
      <c r="B2" s="57" t="inlineStr">
        <is>
          <t>카메라 본체(CAM)</t>
        </is>
      </c>
      <c r="C2" s="57" t="inlineStr">
        <is>
          <t>Sony Fx3</t>
        </is>
      </c>
      <c r="D2" s="58" t="n">
        <v>0.13</v>
      </c>
      <c r="E2" s="58" t="n">
        <v>0.08500000000000001</v>
      </c>
      <c r="F2" s="58" t="n">
        <v>0.078</v>
      </c>
      <c r="G2" s="58" t="inlineStr"/>
      <c r="H2" s="58" t="inlineStr"/>
      <c r="I2" s="58" t="inlineStr"/>
      <c r="J2" s="58" t="n">
        <v>1.45</v>
      </c>
      <c r="K2" s="57" t="inlineStr">
        <is>
          <t>제조사 공식</t>
        </is>
      </c>
      <c r="L2" s="57" t="inlineStr">
        <is>
          <t>자산 전용</t>
        </is>
      </c>
      <c r="M2" s="57" t="inlineStr">
        <is>
          <t>Sony 공식 129.7×77.8×84.5mm</t>
        </is>
      </c>
    </row>
    <row r="3">
      <c r="A3" s="59" t="inlineStr">
        <is>
          <t>CAM-002</t>
        </is>
      </c>
      <c r="B3" s="59" t="inlineStr">
        <is>
          <t>카메라 본체(CAM)</t>
        </is>
      </c>
      <c r="C3" s="59" t="inlineStr">
        <is>
          <t>Sony Fx6</t>
        </is>
      </c>
      <c r="D3" s="60" t="n">
        <v>0.153</v>
      </c>
      <c r="E3" s="60" t="n">
        <v>0.116</v>
      </c>
      <c r="F3" s="60" t="n">
        <v>0.114</v>
      </c>
      <c r="G3" s="60" t="inlineStr"/>
      <c r="H3" s="60" t="inlineStr"/>
      <c r="I3" s="60" t="inlineStr"/>
      <c r="J3" s="60" t="n">
        <v>1.45</v>
      </c>
      <c r="K3" s="59" t="inlineStr">
        <is>
          <t>추정</t>
        </is>
      </c>
      <c r="L3" s="59" t="inlineStr">
        <is>
          <t>자산 전용</t>
        </is>
      </c>
      <c r="M3" s="59" t="inlineStr"/>
    </row>
    <row r="4">
      <c r="A4" s="57" t="inlineStr">
        <is>
          <t>CAM-003</t>
        </is>
      </c>
      <c r="B4" s="57" t="inlineStr">
        <is>
          <t>카메라 본체(CAM)</t>
        </is>
      </c>
      <c r="C4" s="57" t="inlineStr">
        <is>
          <t>Sony a7m4</t>
        </is>
      </c>
      <c r="D4" s="58" t="n">
        <v>0.131</v>
      </c>
      <c r="E4" s="58" t="n">
        <v>0.08</v>
      </c>
      <c r="F4" s="58" t="n">
        <v>0.096</v>
      </c>
      <c r="G4" s="58" t="inlineStr"/>
      <c r="H4" s="58" t="inlineStr"/>
      <c r="I4" s="58" t="inlineStr"/>
      <c r="J4" s="58" t="n">
        <v>1.45</v>
      </c>
      <c r="K4" s="57" t="inlineStr">
        <is>
          <t>제조사 공식</t>
        </is>
      </c>
      <c r="L4" s="57" t="inlineStr">
        <is>
          <t>자산 전용</t>
        </is>
      </c>
      <c r="M4" s="57" t="inlineStr">
        <is>
          <t>Sony 공식 131.3×96.4×79.8mm</t>
        </is>
      </c>
    </row>
    <row r="5">
      <c r="A5" s="59" t="inlineStr">
        <is>
          <t>CAM-004</t>
        </is>
      </c>
      <c r="B5" s="59" t="inlineStr">
        <is>
          <t>카메라 본체(CAM)</t>
        </is>
      </c>
      <c r="C5" s="59" t="inlineStr">
        <is>
          <t>Sony PXW-Z90</t>
        </is>
      </c>
      <c r="D5" s="60" t="n">
        <v>0.109</v>
      </c>
      <c r="E5" s="60" t="n">
        <v>0.293</v>
      </c>
      <c r="F5" s="60" t="n">
        <v>0.156</v>
      </c>
      <c r="G5" s="60" t="inlineStr"/>
      <c r="H5" s="60" t="inlineStr"/>
      <c r="I5" s="60" t="inlineStr"/>
      <c r="J5" s="60" t="n">
        <v>1.45</v>
      </c>
      <c r="K5" s="59" t="inlineStr">
        <is>
          <t>추정</t>
        </is>
      </c>
      <c r="L5" s="59" t="inlineStr">
        <is>
          <t>자산 전용</t>
        </is>
      </c>
      <c r="M5" s="59" t="inlineStr"/>
    </row>
    <row r="6">
      <c r="A6" s="59" t="inlineStr">
        <is>
          <t>CAM-005</t>
        </is>
      </c>
      <c r="B6" s="59" t="inlineStr">
        <is>
          <t>카메라 본체(CAM)</t>
        </is>
      </c>
      <c r="C6" s="59" t="inlineStr">
        <is>
          <t>Sony a7m5</t>
        </is>
      </c>
      <c r="D6" s="60" t="n">
        <v>0.131</v>
      </c>
      <c r="E6" s="60" t="n">
        <v>0.08</v>
      </c>
      <c r="F6" s="60" t="n">
        <v>0.096</v>
      </c>
      <c r="G6" s="60" t="inlineStr"/>
      <c r="H6" s="60" t="inlineStr"/>
      <c r="I6" s="60" t="inlineStr"/>
      <c r="J6" s="60" t="n">
        <v>1.45</v>
      </c>
      <c r="K6" s="59" t="inlineStr">
        <is>
          <t>추정</t>
        </is>
      </c>
      <c r="L6" s="59" t="inlineStr">
        <is>
          <t>자산 전용</t>
        </is>
      </c>
      <c r="M6" s="59" t="inlineStr"/>
    </row>
    <row r="7">
      <c r="A7" s="57" t="inlineStr">
        <is>
          <t>TRP-001</t>
        </is>
      </c>
      <c r="B7" s="57" t="inlineStr">
        <is>
          <t>삼각대(TRP)</t>
        </is>
      </c>
      <c r="C7" s="57" t="inlineStr">
        <is>
          <t>manfrotto MVK504XTWINFA</t>
        </is>
      </c>
      <c r="D7" s="58" t="n">
        <v>1</v>
      </c>
      <c r="E7" s="58" t="n">
        <v>1</v>
      </c>
      <c r="F7" s="58" t="n">
        <v>1.2</v>
      </c>
      <c r="G7" s="58" t="n">
        <v>0.27</v>
      </c>
      <c r="H7" s="58" t="n">
        <v>1.57</v>
      </c>
      <c r="I7" s="58" t="n">
        <v>1.3</v>
      </c>
      <c r="J7" s="58" t="n">
        <v>1.2</v>
      </c>
      <c r="K7" s="57" t="inlineStr">
        <is>
          <t>제조사 공식</t>
        </is>
      </c>
      <c r="L7" s="57" t="inlineStr">
        <is>
          <t>자산 전용</t>
        </is>
      </c>
      <c r="M7" s="57" t="inlineStr">
        <is>
          <t>Manfrotto 504X+645FAST 공식 10.6~61.8in (27~157cm)</t>
        </is>
      </c>
    </row>
    <row r="8">
      <c r="A8" s="57" t="inlineStr">
        <is>
          <t>TRP-002</t>
        </is>
      </c>
      <c r="B8" s="57" t="inlineStr">
        <is>
          <t>삼각대(TRP)</t>
        </is>
      </c>
      <c r="C8" s="57" t="inlineStr">
        <is>
          <t>manfrotto Befree Live</t>
        </is>
      </c>
      <c r="D8" s="58" t="n">
        <v>0.8</v>
      </c>
      <c r="E8" s="58" t="n">
        <v>0.8</v>
      </c>
      <c r="F8" s="58" t="n">
        <v>1.1</v>
      </c>
      <c r="G8" s="58" t="n">
        <v>0.43</v>
      </c>
      <c r="H8" s="58" t="n">
        <v>1.51</v>
      </c>
      <c r="I8" s="58" t="n">
        <v>1.08</v>
      </c>
      <c r="J8" s="58" t="n">
        <v>1.1</v>
      </c>
      <c r="K8" s="57" t="inlineStr">
        <is>
          <t>제조사 공식</t>
        </is>
      </c>
      <c r="L8" s="57" t="inlineStr">
        <is>
          <t>자산 전용</t>
        </is>
      </c>
      <c r="M8" s="57" t="inlineStr">
        <is>
          <t>Manfrotto Befree Live 공식 17~59.5in (43~151cm)</t>
        </is>
      </c>
    </row>
    <row r="9">
      <c r="A9" s="57" t="inlineStr">
        <is>
          <t>TRP-003</t>
        </is>
      </c>
      <c r="B9" s="57" t="inlineStr">
        <is>
          <t>삼각대(TRP)</t>
        </is>
      </c>
      <c r="C9" s="57" t="inlineStr">
        <is>
          <t>TSN6CF-Q PLUS</t>
        </is>
      </c>
      <c r="D9" s="58" t="n">
        <v>0.9</v>
      </c>
      <c r="E9" s="58" t="n">
        <v>0.9</v>
      </c>
      <c r="F9" s="58" t="n">
        <v>1.2</v>
      </c>
      <c r="G9" s="58" t="n">
        <v>0.66</v>
      </c>
      <c r="H9" s="58" t="n">
        <v>1.75</v>
      </c>
      <c r="I9" s="58" t="n">
        <v>1.09</v>
      </c>
      <c r="J9" s="58" t="n">
        <v>1.2</v>
      </c>
      <c r="K9" s="57" t="inlineStr">
        <is>
          <t>제조사 공식</t>
        </is>
      </c>
      <c r="L9" s="57" t="inlineStr">
        <is>
          <t>자산 전용</t>
        </is>
      </c>
      <c r="M9" s="57" t="inlineStr">
        <is>
          <t>Teris TSN6CF-Q PLUS 공식 655~1745mm</t>
        </is>
      </c>
    </row>
    <row r="10">
      <c r="A10" s="59" t="inlineStr">
        <is>
          <t>LEN-001</t>
        </is>
      </c>
      <c r="B10" s="59" t="inlineStr">
        <is>
          <t>렌즈(LEN)</t>
        </is>
      </c>
      <c r="C10" s="59" t="inlineStr">
        <is>
          <t>Sony 24-70   F2.8 GM</t>
        </is>
      </c>
      <c r="D10" s="60" t="n">
        <v>0.09</v>
      </c>
      <c r="E10" s="60" t="n">
        <v>0.13</v>
      </c>
      <c r="F10" s="60" t="n">
        <v>0.09</v>
      </c>
      <c r="G10" s="60" t="inlineStr"/>
      <c r="H10" s="60" t="inlineStr"/>
      <c r="I10" s="60" t="inlineStr"/>
      <c r="J10" s="60" t="n">
        <v>0</v>
      </c>
      <c r="K10" s="59" t="inlineStr">
        <is>
          <t>추정</t>
        </is>
      </c>
      <c r="L10" s="59" t="inlineStr">
        <is>
          <t>카테고리 기본</t>
        </is>
      </c>
      <c r="M10" s="59" t="inlineStr"/>
    </row>
    <row r="11">
      <c r="A11" s="59" t="inlineStr">
        <is>
          <t>LEN-002</t>
        </is>
      </c>
      <c r="B11" s="59" t="inlineStr">
        <is>
          <t>렌즈(LEN)</t>
        </is>
      </c>
      <c r="C11" s="59" t="inlineStr">
        <is>
          <t>Sony 70-200 F2.8 GM2</t>
        </is>
      </c>
      <c r="D11" s="60" t="n">
        <v>0.09</v>
      </c>
      <c r="E11" s="60" t="n">
        <v>0.13</v>
      </c>
      <c r="F11" s="60" t="n">
        <v>0.09</v>
      </c>
      <c r="G11" s="60" t="inlineStr"/>
      <c r="H11" s="60" t="inlineStr"/>
      <c r="I11" s="60" t="inlineStr"/>
      <c r="J11" s="60" t="n">
        <v>0</v>
      </c>
      <c r="K11" s="59" t="inlineStr">
        <is>
          <t>추정</t>
        </is>
      </c>
      <c r="L11" s="59" t="inlineStr">
        <is>
          <t>카테고리 기본</t>
        </is>
      </c>
      <c r="M11" s="59" t="inlineStr"/>
    </row>
    <row r="12">
      <c r="A12" s="59" t="inlineStr">
        <is>
          <t>LEN-003</t>
        </is>
      </c>
      <c r="B12" s="59" t="inlineStr">
        <is>
          <t>렌즈(LEN)</t>
        </is>
      </c>
      <c r="C12" s="59" t="inlineStr">
        <is>
          <t>Sony 90mm  F2.8</t>
        </is>
      </c>
      <c r="D12" s="60" t="n">
        <v>0.09</v>
      </c>
      <c r="E12" s="60" t="n">
        <v>0.13</v>
      </c>
      <c r="F12" s="60" t="n">
        <v>0.09</v>
      </c>
      <c r="G12" s="60" t="inlineStr"/>
      <c r="H12" s="60" t="inlineStr"/>
      <c r="I12" s="60" t="inlineStr"/>
      <c r="J12" s="60" t="n">
        <v>0</v>
      </c>
      <c r="K12" s="59" t="inlineStr">
        <is>
          <t>추정</t>
        </is>
      </c>
      <c r="L12" s="59" t="inlineStr">
        <is>
          <t>카테고리 기본</t>
        </is>
      </c>
      <c r="M12" s="59" t="inlineStr"/>
    </row>
    <row r="13">
      <c r="A13" s="59" t="inlineStr">
        <is>
          <t>LEN-004</t>
        </is>
      </c>
      <c r="B13" s="59" t="inlineStr">
        <is>
          <t>렌즈(LEN)</t>
        </is>
      </c>
      <c r="C13" s="59" t="inlineStr">
        <is>
          <t>Sony 28-135 F4</t>
        </is>
      </c>
      <c r="D13" s="60" t="n">
        <v>0.09</v>
      </c>
      <c r="E13" s="60" t="n">
        <v>0.13</v>
      </c>
      <c r="F13" s="60" t="n">
        <v>0.09</v>
      </c>
      <c r="G13" s="60" t="inlineStr"/>
      <c r="H13" s="60" t="inlineStr"/>
      <c r="I13" s="60" t="inlineStr"/>
      <c r="J13" s="60" t="n">
        <v>0</v>
      </c>
      <c r="K13" s="59" t="inlineStr">
        <is>
          <t>추정</t>
        </is>
      </c>
      <c r="L13" s="59" t="inlineStr">
        <is>
          <t>카테고리 기본</t>
        </is>
      </c>
      <c r="M13" s="59" t="inlineStr"/>
    </row>
    <row r="14">
      <c r="A14" s="59" t="inlineStr">
        <is>
          <t>LEN-005</t>
        </is>
      </c>
      <c r="B14" s="59" t="inlineStr">
        <is>
          <t>렌즈(LEN)</t>
        </is>
      </c>
      <c r="C14" s="59" t="inlineStr">
        <is>
          <t>Sony 16-35 F2.8</t>
        </is>
      </c>
      <c r="D14" s="60" t="n">
        <v>0.09</v>
      </c>
      <c r="E14" s="60" t="n">
        <v>0.13</v>
      </c>
      <c r="F14" s="60" t="n">
        <v>0.09</v>
      </c>
      <c r="G14" s="60" t="inlineStr"/>
      <c r="H14" s="60" t="inlineStr"/>
      <c r="I14" s="60" t="inlineStr"/>
      <c r="J14" s="60" t="n">
        <v>0</v>
      </c>
      <c r="K14" s="59" t="inlineStr">
        <is>
          <t>추정</t>
        </is>
      </c>
      <c r="L14" s="59" t="inlineStr">
        <is>
          <t>카테고리 기본</t>
        </is>
      </c>
      <c r="M14" s="59" t="inlineStr"/>
    </row>
    <row r="15">
      <c r="A15" s="59" t="inlineStr">
        <is>
          <t>LEN-006</t>
        </is>
      </c>
      <c r="B15" s="59" t="inlineStr">
        <is>
          <t>렌즈(LEN)</t>
        </is>
      </c>
      <c r="C15" s="59" t="inlineStr">
        <is>
          <t>Sony 24-70   F2.8 GM2</t>
        </is>
      </c>
      <c r="D15" s="60" t="n">
        <v>0.09</v>
      </c>
      <c r="E15" s="60" t="n">
        <v>0.13</v>
      </c>
      <c r="F15" s="60" t="n">
        <v>0.09</v>
      </c>
      <c r="G15" s="60" t="inlineStr"/>
      <c r="H15" s="60" t="inlineStr"/>
      <c r="I15" s="60" t="inlineStr"/>
      <c r="J15" s="60" t="n">
        <v>0</v>
      </c>
      <c r="K15" s="59" t="inlineStr">
        <is>
          <t>추정</t>
        </is>
      </c>
      <c r="L15" s="59" t="inlineStr">
        <is>
          <t>카테고리 기본</t>
        </is>
      </c>
      <c r="M15" s="59" t="inlineStr"/>
    </row>
    <row r="16">
      <c r="A16" s="59" t="inlineStr">
        <is>
          <t>AUD-001</t>
        </is>
      </c>
      <c r="B16" s="59" t="inlineStr">
        <is>
          <t>마이크/오디오(AUD)</t>
        </is>
      </c>
      <c r="C16" s="59" t="inlineStr">
        <is>
          <t>Sony ICD-TX660</t>
        </is>
      </c>
      <c r="D16" s="60" t="n">
        <v>0.08</v>
      </c>
      <c r="E16" s="60" t="n">
        <v>0.25</v>
      </c>
      <c r="F16" s="60" t="n">
        <v>0.08</v>
      </c>
      <c r="G16" s="60" t="inlineStr"/>
      <c r="H16" s="60" t="inlineStr"/>
      <c r="I16" s="60" t="inlineStr"/>
      <c r="J16" s="60" t="n">
        <v>0</v>
      </c>
      <c r="K16" s="59" t="inlineStr">
        <is>
          <t>추정</t>
        </is>
      </c>
      <c r="L16" s="59" t="inlineStr">
        <is>
          <t>카테고리 기본</t>
        </is>
      </c>
      <c r="M16" s="59" t="inlineStr"/>
    </row>
    <row r="17">
      <c r="A17" s="59" t="inlineStr">
        <is>
          <t>AUD-002</t>
        </is>
      </c>
      <c r="B17" s="59" t="inlineStr">
        <is>
          <t>마이크/오디오(AUD)</t>
        </is>
      </c>
      <c r="C17" s="59" t="inlineStr">
        <is>
          <t>Sony ICD-TX660</t>
        </is>
      </c>
      <c r="D17" s="60" t="n">
        <v>0.08</v>
      </c>
      <c r="E17" s="60" t="n">
        <v>0.25</v>
      </c>
      <c r="F17" s="60" t="n">
        <v>0.08</v>
      </c>
      <c r="G17" s="60" t="inlineStr"/>
      <c r="H17" s="60" t="inlineStr"/>
      <c r="I17" s="60" t="inlineStr"/>
      <c r="J17" s="60" t="n">
        <v>0</v>
      </c>
      <c r="K17" s="59" t="inlineStr">
        <is>
          <t>추정</t>
        </is>
      </c>
      <c r="L17" s="59" t="inlineStr">
        <is>
          <t>카테고리 기본</t>
        </is>
      </c>
      <c r="M17" s="59" t="inlineStr"/>
    </row>
    <row r="18">
      <c r="A18" s="59" t="inlineStr">
        <is>
          <t>AUD-003</t>
        </is>
      </c>
      <c r="B18" s="59" t="inlineStr">
        <is>
          <t>마이크/오디오(AUD)</t>
        </is>
      </c>
      <c r="C18" s="59" t="inlineStr">
        <is>
          <t>RODE wireless GO2</t>
        </is>
      </c>
      <c r="D18" s="60" t="n">
        <v>0.08</v>
      </c>
      <c r="E18" s="60" t="n">
        <v>0.25</v>
      </c>
      <c r="F18" s="60" t="n">
        <v>0.08</v>
      </c>
      <c r="G18" s="60" t="inlineStr"/>
      <c r="H18" s="60" t="inlineStr"/>
      <c r="I18" s="60" t="inlineStr"/>
      <c r="J18" s="60" t="n">
        <v>0</v>
      </c>
      <c r="K18" s="59" t="inlineStr">
        <is>
          <t>추정</t>
        </is>
      </c>
      <c r="L18" s="59" t="inlineStr">
        <is>
          <t>카테고리 기본</t>
        </is>
      </c>
      <c r="M18" s="59" t="inlineStr"/>
    </row>
    <row r="19">
      <c r="A19" s="59" t="inlineStr">
        <is>
          <t>AUD-004</t>
        </is>
      </c>
      <c r="B19" s="59" t="inlineStr">
        <is>
          <t>마이크/오디오(AUD)</t>
        </is>
      </c>
      <c r="C19" s="59" t="inlineStr">
        <is>
          <t>RODE LAVALIER I</t>
        </is>
      </c>
      <c r="D19" s="60" t="n">
        <v>0.08</v>
      </c>
      <c r="E19" s="60" t="n">
        <v>0.25</v>
      </c>
      <c r="F19" s="60" t="n">
        <v>0.08</v>
      </c>
      <c r="G19" s="60" t="inlineStr"/>
      <c r="H19" s="60" t="inlineStr"/>
      <c r="I19" s="60" t="inlineStr"/>
      <c r="J19" s="60" t="n">
        <v>0</v>
      </c>
      <c r="K19" s="59" t="inlineStr">
        <is>
          <t>추정</t>
        </is>
      </c>
      <c r="L19" s="59" t="inlineStr">
        <is>
          <t>카테고리 기본</t>
        </is>
      </c>
      <c r="M19" s="59" t="inlineStr"/>
    </row>
    <row r="20">
      <c r="A20" s="59" t="inlineStr">
        <is>
          <t>AUD-005</t>
        </is>
      </c>
      <c r="B20" s="59" t="inlineStr">
        <is>
          <t>마이크/오디오(AUD)</t>
        </is>
      </c>
      <c r="C20" s="59" t="inlineStr">
        <is>
          <t>RODE LAVALIER I</t>
        </is>
      </c>
      <c r="D20" s="60" t="n">
        <v>0.08</v>
      </c>
      <c r="E20" s="60" t="n">
        <v>0.25</v>
      </c>
      <c r="F20" s="60" t="n">
        <v>0.08</v>
      </c>
      <c r="G20" s="60" t="inlineStr"/>
      <c r="H20" s="60" t="inlineStr"/>
      <c r="I20" s="60" t="inlineStr"/>
      <c r="J20" s="60" t="n">
        <v>0</v>
      </c>
      <c r="K20" s="59" t="inlineStr">
        <is>
          <t>추정</t>
        </is>
      </c>
      <c r="L20" s="59" t="inlineStr">
        <is>
          <t>카테고리 기본</t>
        </is>
      </c>
      <c r="M20" s="59" t="inlineStr"/>
    </row>
    <row r="21">
      <c r="A21" s="59" t="inlineStr">
        <is>
          <t>AUD-006</t>
        </is>
      </c>
      <c r="B21" s="59" t="inlineStr">
        <is>
          <t>마이크/오디오(AUD)</t>
        </is>
      </c>
      <c r="C21" s="59" t="inlineStr">
        <is>
          <t>RODE LAVALIER II</t>
        </is>
      </c>
      <c r="D21" s="60" t="n">
        <v>0.08</v>
      </c>
      <c r="E21" s="60" t="n">
        <v>0.25</v>
      </c>
      <c r="F21" s="60" t="n">
        <v>0.08</v>
      </c>
      <c r="G21" s="60" t="inlineStr"/>
      <c r="H21" s="60" t="inlineStr"/>
      <c r="I21" s="60" t="inlineStr"/>
      <c r="J21" s="60" t="n">
        <v>0</v>
      </c>
      <c r="K21" s="59" t="inlineStr">
        <is>
          <t>추정</t>
        </is>
      </c>
      <c r="L21" s="59" t="inlineStr">
        <is>
          <t>카테고리 기본</t>
        </is>
      </c>
      <c r="M21" s="59" t="inlineStr"/>
    </row>
    <row r="22">
      <c r="A22" s="59" t="inlineStr">
        <is>
          <t>AUD-007</t>
        </is>
      </c>
      <c r="B22" s="59" t="inlineStr">
        <is>
          <t>마이크/오디오(AUD)</t>
        </is>
      </c>
      <c r="C22" s="59" t="inlineStr">
        <is>
          <t>RODE LAVALIER II</t>
        </is>
      </c>
      <c r="D22" s="60" t="n">
        <v>0.08</v>
      </c>
      <c r="E22" s="60" t="n">
        <v>0.25</v>
      </c>
      <c r="F22" s="60" t="n">
        <v>0.08</v>
      </c>
      <c r="G22" s="60" t="inlineStr"/>
      <c r="H22" s="60" t="inlineStr"/>
      <c r="I22" s="60" t="inlineStr"/>
      <c r="J22" s="60" t="n">
        <v>0</v>
      </c>
      <c r="K22" s="59" t="inlineStr">
        <is>
          <t>추정</t>
        </is>
      </c>
      <c r="L22" s="59" t="inlineStr">
        <is>
          <t>카테고리 기본</t>
        </is>
      </c>
      <c r="M22" s="59" t="inlineStr"/>
    </row>
    <row r="23">
      <c r="A23" s="59" t="inlineStr">
        <is>
          <t>AUD-008</t>
        </is>
      </c>
      <c r="B23" s="59" t="inlineStr">
        <is>
          <t>마이크/오디오(AUD)</t>
        </is>
      </c>
      <c r="C23" s="59" t="inlineStr">
        <is>
          <t>RODE NTG5 kit</t>
        </is>
      </c>
      <c r="D23" s="60" t="n">
        <v>0.08</v>
      </c>
      <c r="E23" s="60" t="n">
        <v>0.25</v>
      </c>
      <c r="F23" s="60" t="n">
        <v>0.08</v>
      </c>
      <c r="G23" s="60" t="inlineStr"/>
      <c r="H23" s="60" t="inlineStr"/>
      <c r="I23" s="60" t="inlineStr"/>
      <c r="J23" s="60" t="n">
        <v>0</v>
      </c>
      <c r="K23" s="59" t="inlineStr">
        <is>
          <t>추정</t>
        </is>
      </c>
      <c r="L23" s="59" t="inlineStr">
        <is>
          <t>카테고리 기본</t>
        </is>
      </c>
      <c r="M23" s="59" t="inlineStr"/>
    </row>
    <row r="24">
      <c r="A24" s="57" t="inlineStr">
        <is>
          <t>LIT-001</t>
        </is>
      </c>
      <c r="B24" s="57" t="inlineStr">
        <is>
          <t>조명(LIT)</t>
        </is>
      </c>
      <c r="C24" s="57" t="inlineStr">
        <is>
          <t>NANLITE Forza 500</t>
        </is>
      </c>
      <c r="D24" s="58" t="n">
        <v>0.231</v>
      </c>
      <c r="E24" s="58" t="n">
        <v>0.399</v>
      </c>
      <c r="F24" s="58" t="n">
        <v>0.231</v>
      </c>
      <c r="G24" s="58" t="inlineStr"/>
      <c r="H24" s="58" t="inlineStr"/>
      <c r="I24" s="58" t="inlineStr"/>
      <c r="J24" s="58" t="n">
        <v>2</v>
      </c>
      <c r="K24" s="57" t="inlineStr">
        <is>
          <t>제조사 공식</t>
        </is>
      </c>
      <c r="L24" s="57" t="inlineStr">
        <is>
          <t>자산 전용</t>
        </is>
      </c>
      <c r="M24" s="57" t="inlineStr"/>
    </row>
    <row r="25">
      <c r="A25" s="57" t="inlineStr">
        <is>
          <t>LIT-002</t>
        </is>
      </c>
      <c r="B25" s="57" t="inlineStr">
        <is>
          <t>조명(LIT)</t>
        </is>
      </c>
      <c r="C25" s="57" t="inlineStr">
        <is>
          <t>NANLITE Forza 500B Ⅱ</t>
        </is>
      </c>
      <c r="D25" s="58" t="n">
        <v>0.231</v>
      </c>
      <c r="E25" s="58" t="n">
        <v>0.399</v>
      </c>
      <c r="F25" s="58" t="n">
        <v>0.231</v>
      </c>
      <c r="G25" s="58" t="inlineStr"/>
      <c r="H25" s="58" t="inlineStr"/>
      <c r="I25" s="58" t="inlineStr"/>
      <c r="J25" s="58" t="n">
        <v>2</v>
      </c>
      <c r="K25" s="57" t="inlineStr">
        <is>
          <t>제조사 공식</t>
        </is>
      </c>
      <c r="L25" s="57" t="inlineStr">
        <is>
          <t>자산 전용</t>
        </is>
      </c>
      <c r="M25" s="57" t="inlineStr">
        <is>
          <t>NANLITE 공식 15.7×9.1×5.6in</t>
        </is>
      </c>
    </row>
    <row r="26">
      <c r="A26" s="59" t="inlineStr">
        <is>
          <t>LIT-003</t>
        </is>
      </c>
      <c r="B26" s="59" t="inlineStr">
        <is>
          <t>조명(LIT)</t>
        </is>
      </c>
      <c r="C26" s="59" t="inlineStr">
        <is>
          <t>NANLITE Pavoslim240B</t>
        </is>
      </c>
      <c r="D26" s="60" t="n">
        <v>0.31</v>
      </c>
      <c r="E26" s="60" t="n">
        <v>0.06</v>
      </c>
      <c r="F26" s="60" t="n">
        <v>0.62</v>
      </c>
      <c r="G26" s="60" t="inlineStr"/>
      <c r="H26" s="60" t="inlineStr"/>
      <c r="I26" s="60" t="inlineStr"/>
      <c r="J26" s="60" t="n">
        <v>2</v>
      </c>
      <c r="K26" s="59" t="inlineStr">
        <is>
          <t>추정</t>
        </is>
      </c>
      <c r="L26" s="59" t="inlineStr">
        <is>
          <t>자산 전용</t>
        </is>
      </c>
      <c r="M26" s="59" t="inlineStr"/>
    </row>
    <row r="27">
      <c r="A27" s="59" t="inlineStr">
        <is>
          <t>LIT-004</t>
        </is>
      </c>
      <c r="B27" s="59" t="inlineStr">
        <is>
          <t>조명(LIT)</t>
        </is>
      </c>
      <c r="C27" s="59" t="inlineStr">
        <is>
          <t>NANLITE MixPanel 150</t>
        </is>
      </c>
      <c r="D27" s="60" t="n">
        <v>0.36</v>
      </c>
      <c r="E27" s="60" t="n">
        <v>0.09</v>
      </c>
      <c r="F27" s="60" t="n">
        <v>0.53</v>
      </c>
      <c r="G27" s="60" t="inlineStr"/>
      <c r="H27" s="60" t="inlineStr"/>
      <c r="I27" s="60" t="inlineStr"/>
      <c r="J27" s="60" t="n">
        <v>2</v>
      </c>
      <c r="K27" s="59" t="inlineStr">
        <is>
          <t>추정</t>
        </is>
      </c>
      <c r="L27" s="59" t="inlineStr">
        <is>
          <t>자산 전용</t>
        </is>
      </c>
      <c r="M27" s="59" t="inlineStr"/>
    </row>
    <row r="28">
      <c r="A28" s="57" t="inlineStr">
        <is>
          <t>LIT-005</t>
        </is>
      </c>
      <c r="B28" s="57" t="inlineStr">
        <is>
          <t>조명(LIT)</t>
        </is>
      </c>
      <c r="C28" s="57" t="inlineStr">
        <is>
          <t>NANLITE Forza 60B</t>
        </is>
      </c>
      <c r="D28" s="58" t="n">
        <v>0.104</v>
      </c>
      <c r="E28" s="58" t="n">
        <v>0.198</v>
      </c>
      <c r="F28" s="58" t="n">
        <v>0.08400000000000001</v>
      </c>
      <c r="G28" s="58" t="inlineStr"/>
      <c r="H28" s="58" t="inlineStr"/>
      <c r="I28" s="58" t="inlineStr"/>
      <c r="J28" s="58" t="n">
        <v>2</v>
      </c>
      <c r="K28" s="57" t="inlineStr">
        <is>
          <t>제조사 공식</t>
        </is>
      </c>
      <c r="L28" s="57" t="inlineStr">
        <is>
          <t>자산 전용</t>
        </is>
      </c>
      <c r="M28" s="57" t="inlineStr">
        <is>
          <t>NANLITE 공식 7.8×4.1×3.3in</t>
        </is>
      </c>
    </row>
    <row r="29">
      <c r="A29" s="57" t="inlineStr">
        <is>
          <t>LIT-006</t>
        </is>
      </c>
      <c r="B29" s="57" t="inlineStr">
        <is>
          <t>조명(LIT)</t>
        </is>
      </c>
      <c r="C29" s="57" t="inlineStr">
        <is>
          <t>NANLITE Forza 60B Ⅱ</t>
        </is>
      </c>
      <c r="D29" s="58" t="n">
        <v>0.104</v>
      </c>
      <c r="E29" s="58" t="n">
        <v>0.198</v>
      </c>
      <c r="F29" s="58" t="n">
        <v>0.08400000000000001</v>
      </c>
      <c r="G29" s="58" t="inlineStr"/>
      <c r="H29" s="58" t="inlineStr"/>
      <c r="I29" s="58" t="inlineStr"/>
      <c r="J29" s="58" t="n">
        <v>2</v>
      </c>
      <c r="K29" s="57" t="inlineStr">
        <is>
          <t>제조사 공식</t>
        </is>
      </c>
      <c r="L29" s="57" t="inlineStr">
        <is>
          <t>자산 전용</t>
        </is>
      </c>
      <c r="M29" s="57" t="inlineStr"/>
    </row>
    <row r="30">
      <c r="A30" s="59" t="inlineStr">
        <is>
          <t>LIT-007</t>
        </is>
      </c>
      <c r="B30" s="59" t="inlineStr">
        <is>
          <t>조명(LIT)</t>
        </is>
      </c>
      <c r="C30" s="59" t="inlineStr">
        <is>
          <t>NANLITE PavoTube</t>
        </is>
      </c>
      <c r="D30" s="60" t="n">
        <v>0.055</v>
      </c>
      <c r="E30" s="60" t="n">
        <v>0.53</v>
      </c>
      <c r="F30" s="60" t="n">
        <v>0.055</v>
      </c>
      <c r="G30" s="60" t="inlineStr"/>
      <c r="H30" s="60" t="inlineStr"/>
      <c r="I30" s="60" t="inlineStr"/>
      <c r="J30" s="60" t="n">
        <v>2</v>
      </c>
      <c r="K30" s="59" t="inlineStr">
        <is>
          <t>추정</t>
        </is>
      </c>
      <c r="L30" s="59" t="inlineStr">
        <is>
          <t>자산 전용</t>
        </is>
      </c>
      <c r="M30" s="59" t="inlineStr"/>
    </row>
    <row r="31">
      <c r="A31" s="59" t="inlineStr">
        <is>
          <t>LIT-008</t>
        </is>
      </c>
      <c r="B31" s="59" t="inlineStr">
        <is>
          <t>조명(LIT)</t>
        </is>
      </c>
      <c r="C31" s="59" t="inlineStr">
        <is>
          <t>NANLITE PavoTube</t>
        </is>
      </c>
      <c r="D31" s="60" t="n">
        <v>0.055</v>
      </c>
      <c r="E31" s="60" t="n">
        <v>0.53</v>
      </c>
      <c r="F31" s="60" t="n">
        <v>0.055</v>
      </c>
      <c r="G31" s="60" t="inlineStr"/>
      <c r="H31" s="60" t="inlineStr"/>
      <c r="I31" s="60" t="inlineStr"/>
      <c r="J31" s="60" t="n">
        <v>2</v>
      </c>
      <c r="K31" s="59" t="inlineStr">
        <is>
          <t>추정</t>
        </is>
      </c>
      <c r="L31" s="59" t="inlineStr">
        <is>
          <t>자산 전용</t>
        </is>
      </c>
      <c r="M31" s="59" t="inlineStr"/>
    </row>
    <row r="32">
      <c r="A32" s="57" t="inlineStr">
        <is>
          <t>LIT-009</t>
        </is>
      </c>
      <c r="B32" s="57" t="inlineStr">
        <is>
          <t>조명(LIT)</t>
        </is>
      </c>
      <c r="C32" s="57" t="inlineStr">
        <is>
          <t>고독스 AD300Pro</t>
        </is>
      </c>
      <c r="D32" s="58" t="n">
        <v>0.1</v>
      </c>
      <c r="E32" s="58" t="n">
        <v>0.19</v>
      </c>
      <c r="F32" s="58" t="n">
        <v>0.09</v>
      </c>
      <c r="G32" s="58" t="inlineStr"/>
      <c r="H32" s="58" t="inlineStr"/>
      <c r="I32" s="58" t="inlineStr"/>
      <c r="J32" s="58" t="n">
        <v>2</v>
      </c>
      <c r="K32" s="57" t="inlineStr">
        <is>
          <t>제조사 공식</t>
        </is>
      </c>
      <c r="L32" s="57" t="inlineStr">
        <is>
          <t>자산 전용</t>
        </is>
      </c>
      <c r="M32" s="57" t="inlineStr">
        <is>
          <t>Godox 공식 190×100×90mm</t>
        </is>
      </c>
    </row>
    <row r="33">
      <c r="A33" s="59" t="inlineStr">
        <is>
          <t>LIT-010</t>
        </is>
      </c>
      <c r="B33" s="59" t="inlineStr">
        <is>
          <t>조명(LIT)</t>
        </is>
      </c>
      <c r="C33" s="59" t="inlineStr">
        <is>
          <t>고독스 V1</t>
        </is>
      </c>
      <c r="D33" s="60" t="n">
        <v>0.076</v>
      </c>
      <c r="E33" s="60" t="n">
        <v>0.1</v>
      </c>
      <c r="F33" s="60" t="n">
        <v>0.19</v>
      </c>
      <c r="G33" s="60" t="inlineStr"/>
      <c r="H33" s="60" t="inlineStr"/>
      <c r="I33" s="60" t="inlineStr"/>
      <c r="J33" s="60" t="n">
        <v>2</v>
      </c>
      <c r="K33" s="59" t="inlineStr">
        <is>
          <t>추정</t>
        </is>
      </c>
      <c r="L33" s="59" t="inlineStr">
        <is>
          <t>자산 전용</t>
        </is>
      </c>
      <c r="M33" s="59" t="inlineStr"/>
    </row>
    <row r="34">
      <c r="A34" s="59" t="inlineStr">
        <is>
          <t>MOD-001</t>
        </is>
      </c>
      <c r="B34" s="59" t="inlineStr">
        <is>
          <t>조명 모디파이어(MOD)</t>
        </is>
      </c>
      <c r="C34" s="59" t="inlineStr">
        <is>
          <t>Softbox 60b</t>
        </is>
      </c>
      <c r="D34" s="60" t="n">
        <v>0.6</v>
      </c>
      <c r="E34" s="60" t="n">
        <v>0.45</v>
      </c>
      <c r="F34" s="60" t="n">
        <v>0.6</v>
      </c>
      <c r="G34" s="60" t="inlineStr"/>
      <c r="H34" s="60" t="inlineStr"/>
      <c r="I34" s="60" t="inlineStr"/>
      <c r="J34" s="60" t="n">
        <v>1.85</v>
      </c>
      <c r="K34" s="59" t="inlineStr">
        <is>
          <t>추정</t>
        </is>
      </c>
      <c r="L34" s="59" t="inlineStr">
        <is>
          <t>자산 전용</t>
        </is>
      </c>
      <c r="M34" s="59" t="inlineStr"/>
    </row>
    <row r="35">
      <c r="A35" s="59" t="inlineStr">
        <is>
          <t>MOD-002</t>
        </is>
      </c>
      <c r="B35" s="59" t="inlineStr">
        <is>
          <t>조명 모디파이어(MOD)</t>
        </is>
      </c>
      <c r="C35" s="59" t="inlineStr">
        <is>
          <t>Softbox 500</t>
        </is>
      </c>
      <c r="D35" s="60" t="n">
        <v>0.9</v>
      </c>
      <c r="E35" s="60" t="n">
        <v>0.7</v>
      </c>
      <c r="F35" s="60" t="n">
        <v>0.9</v>
      </c>
      <c r="G35" s="60" t="inlineStr"/>
      <c r="H35" s="60" t="inlineStr"/>
      <c r="I35" s="60" t="inlineStr"/>
      <c r="J35" s="60" t="n">
        <v>1.85</v>
      </c>
      <c r="K35" s="59" t="inlineStr">
        <is>
          <t>추정</t>
        </is>
      </c>
      <c r="L35" s="59" t="inlineStr">
        <is>
          <t>자산 전용</t>
        </is>
      </c>
      <c r="M35" s="59" t="inlineStr"/>
    </row>
    <row r="36">
      <c r="A36" s="59" t="inlineStr">
        <is>
          <t>MOD-003</t>
        </is>
      </c>
      <c r="B36" s="59" t="inlineStr">
        <is>
          <t>조명 모디파이어(MOD)</t>
        </is>
      </c>
      <c r="C36" s="59" t="inlineStr">
        <is>
          <t>Forza 500  500 JEMBALL</t>
        </is>
      </c>
      <c r="D36" s="60" t="n">
        <v>0.85</v>
      </c>
      <c r="E36" s="60" t="n">
        <v>0.85</v>
      </c>
      <c r="F36" s="60" t="n">
        <v>0.85</v>
      </c>
      <c r="G36" s="60" t="inlineStr"/>
      <c r="H36" s="60" t="inlineStr"/>
      <c r="I36" s="60" t="inlineStr"/>
      <c r="J36" s="60" t="n">
        <v>1.85</v>
      </c>
      <c r="K36" s="59" t="inlineStr">
        <is>
          <t>추정</t>
        </is>
      </c>
      <c r="L36" s="59" t="inlineStr">
        <is>
          <t>자산 전용</t>
        </is>
      </c>
      <c r="M36" s="59" t="inlineStr"/>
    </row>
    <row r="37">
      <c r="A37" s="59" t="inlineStr">
        <is>
          <t>MOD-004</t>
        </is>
      </c>
      <c r="B37" s="59" t="inlineStr">
        <is>
          <t>조명 모디파이어(MOD)</t>
        </is>
      </c>
      <c r="C37" s="59" t="inlineStr">
        <is>
          <t>60B 프로젝션 어테치먼트</t>
        </is>
      </c>
      <c r="D37" s="60" t="n">
        <v>0.8</v>
      </c>
      <c r="E37" s="60" t="n">
        <v>0.5</v>
      </c>
      <c r="F37" s="60" t="n">
        <v>0.8</v>
      </c>
      <c r="G37" s="60" t="inlineStr"/>
      <c r="H37" s="60" t="inlineStr"/>
      <c r="I37" s="60" t="inlineStr"/>
      <c r="J37" s="60" t="n">
        <v>1.85</v>
      </c>
      <c r="K37" s="59" t="inlineStr">
        <is>
          <t>추정</t>
        </is>
      </c>
      <c r="L37" s="59" t="inlineStr">
        <is>
          <t>카테고리 기본</t>
        </is>
      </c>
      <c r="M37" s="59" t="inlineStr"/>
    </row>
    <row r="38">
      <c r="A38" s="59" t="inlineStr">
        <is>
          <t>MOD-005</t>
        </is>
      </c>
      <c r="B38" s="59" t="inlineStr">
        <is>
          <t>조명 모디파이어(MOD)</t>
        </is>
      </c>
      <c r="C38" s="59" t="inlineStr">
        <is>
          <t>60B 프레넬 렌즈</t>
        </is>
      </c>
      <c r="D38" s="60" t="n">
        <v>0.8</v>
      </c>
      <c r="E38" s="60" t="n">
        <v>0.5</v>
      </c>
      <c r="F38" s="60" t="n">
        <v>0.8</v>
      </c>
      <c r="G38" s="60" t="inlineStr"/>
      <c r="H38" s="60" t="inlineStr"/>
      <c r="I38" s="60" t="inlineStr"/>
      <c r="J38" s="60" t="n">
        <v>1.85</v>
      </c>
      <c r="K38" s="59" t="inlineStr">
        <is>
          <t>추정</t>
        </is>
      </c>
      <c r="L38" s="59" t="inlineStr">
        <is>
          <t>카테고리 기본</t>
        </is>
      </c>
      <c r="M38" s="59" t="inlineStr"/>
    </row>
    <row r="39">
      <c r="A39" s="59" t="inlineStr">
        <is>
          <t>MOD-007</t>
        </is>
      </c>
      <c r="B39" s="59" t="inlineStr">
        <is>
          <t>조명 모디파이어(MOD)</t>
        </is>
      </c>
      <c r="C39" s="59" t="inlineStr">
        <is>
          <t>디퓨저 750 x 900</t>
        </is>
      </c>
      <c r="D39" s="60" t="n">
        <v>0.75</v>
      </c>
      <c r="E39" s="60" t="n">
        <v>0.03</v>
      </c>
      <c r="F39" s="60" t="n">
        <v>0.9</v>
      </c>
      <c r="G39" s="60" t="inlineStr"/>
      <c r="H39" s="60" t="inlineStr"/>
      <c r="I39" s="60" t="inlineStr"/>
      <c r="J39" s="60" t="n">
        <v>1.85</v>
      </c>
      <c r="K39" s="59" t="inlineStr">
        <is>
          <t>추정</t>
        </is>
      </c>
      <c r="L39" s="59" t="inlineStr">
        <is>
          <t>자산 전용</t>
        </is>
      </c>
      <c r="M39" s="59" t="inlineStr"/>
    </row>
    <row r="40">
      <c r="A40" s="59" t="inlineStr">
        <is>
          <t>MOD-008</t>
        </is>
      </c>
      <c r="B40" s="59" t="inlineStr">
        <is>
          <t>조명 모디파이어(MOD)</t>
        </is>
      </c>
      <c r="C40" s="59" t="inlineStr">
        <is>
          <t xml:space="preserve">PavoTube Softbox </t>
        </is>
      </c>
      <c r="D40" s="60" t="n">
        <v>0.8</v>
      </c>
      <c r="E40" s="60" t="n">
        <v>0.5</v>
      </c>
      <c r="F40" s="60" t="n">
        <v>0.8</v>
      </c>
      <c r="G40" s="60" t="inlineStr"/>
      <c r="H40" s="60" t="inlineStr"/>
      <c r="I40" s="60" t="inlineStr"/>
      <c r="J40" s="60" t="n">
        <v>1.85</v>
      </c>
      <c r="K40" s="59" t="inlineStr">
        <is>
          <t>추정</t>
        </is>
      </c>
      <c r="L40" s="59" t="inlineStr">
        <is>
          <t>카테고리 기본</t>
        </is>
      </c>
      <c r="M40" s="59" t="inlineStr"/>
    </row>
    <row r="41">
      <c r="A41" s="59" t="inlineStr">
        <is>
          <t>MOD-009</t>
        </is>
      </c>
      <c r="B41" s="59" t="inlineStr">
        <is>
          <t>조명 모디파이어(MOD)</t>
        </is>
      </c>
      <c r="C41" s="59" t="inlineStr">
        <is>
          <t>모듈형 프레임 원단 디퓨저 꼬리 플랙</t>
        </is>
      </c>
      <c r="D41" s="60" t="n">
        <v>0.8</v>
      </c>
      <c r="E41" s="60" t="n">
        <v>0.5</v>
      </c>
      <c r="F41" s="60" t="n">
        <v>0.8</v>
      </c>
      <c r="G41" s="60" t="inlineStr"/>
      <c r="H41" s="60" t="inlineStr"/>
      <c r="I41" s="60" t="inlineStr"/>
      <c r="J41" s="60" t="n">
        <v>1.85</v>
      </c>
      <c r="K41" s="59" t="inlineStr">
        <is>
          <t>추정</t>
        </is>
      </c>
      <c r="L41" s="59" t="inlineStr">
        <is>
          <t>카테고리 기본</t>
        </is>
      </c>
      <c r="M41" s="59" t="inlineStr"/>
    </row>
    <row r="42">
      <c r="A42" s="59" t="inlineStr">
        <is>
          <t>MON-001</t>
        </is>
      </c>
      <c r="B42" s="59" t="inlineStr">
        <is>
          <t>외장 모니터(MON)</t>
        </is>
      </c>
      <c r="C42" s="59" t="inlineStr">
        <is>
          <t>SUMO 19인치</t>
        </is>
      </c>
      <c r="D42" s="60" t="n">
        <v>0.46</v>
      </c>
      <c r="E42" s="60" t="n">
        <v>0.055</v>
      </c>
      <c r="F42" s="60" t="n">
        <v>0.3</v>
      </c>
      <c r="G42" s="60" t="inlineStr"/>
      <c r="H42" s="60" t="inlineStr"/>
      <c r="I42" s="60" t="inlineStr"/>
      <c r="J42" s="60" t="n">
        <v>1.3</v>
      </c>
      <c r="K42" s="59" t="inlineStr">
        <is>
          <t>추정</t>
        </is>
      </c>
      <c r="L42" s="59" t="inlineStr">
        <is>
          <t>자산 전용</t>
        </is>
      </c>
      <c r="M42" s="59" t="inlineStr"/>
    </row>
    <row r="43">
      <c r="A43" s="59" t="inlineStr">
        <is>
          <t>MON-002</t>
        </is>
      </c>
      <c r="B43" s="59" t="inlineStr">
        <is>
          <t>외장 모니터(MON)</t>
        </is>
      </c>
      <c r="C43" s="59" t="inlineStr">
        <is>
          <t>HOLLYLAND MARS M1 5.5in</t>
        </is>
      </c>
      <c r="D43" s="60" t="n">
        <v>0.15</v>
      </c>
      <c r="E43" s="60" t="n">
        <v>0.03</v>
      </c>
      <c r="F43" s="60" t="n">
        <v>0.09</v>
      </c>
      <c r="G43" s="60" t="inlineStr"/>
      <c r="H43" s="60" t="inlineStr"/>
      <c r="I43" s="60" t="inlineStr"/>
      <c r="J43" s="60" t="n">
        <v>1.3</v>
      </c>
      <c r="K43" s="59" t="inlineStr">
        <is>
          <t>추정</t>
        </is>
      </c>
      <c r="L43" s="59" t="inlineStr">
        <is>
          <t>자산 전용</t>
        </is>
      </c>
      <c r="M43" s="59" t="inlineStr"/>
    </row>
    <row r="44">
      <c r="A44" s="57" t="inlineStr">
        <is>
          <t>STD-A-001</t>
        </is>
      </c>
      <c r="B44" s="57" t="inlineStr">
        <is>
          <t>스탠드(STD)</t>
        </is>
      </c>
      <c r="C44" s="57" t="inlineStr">
        <is>
          <t>A 스탠드</t>
        </is>
      </c>
      <c r="D44" s="58" t="n">
        <v>0.9</v>
      </c>
      <c r="E44" s="58" t="n">
        <v>0.9</v>
      </c>
      <c r="F44" s="58" t="n">
        <v>2</v>
      </c>
      <c r="G44" s="58" t="n">
        <v>1.08</v>
      </c>
      <c r="H44" s="58" t="n">
        <v>2.88</v>
      </c>
      <c r="I44" s="58" t="n">
        <v>1.8</v>
      </c>
      <c r="J44" s="58" t="n">
        <v>2</v>
      </c>
      <c r="K44" s="57" t="inlineStr">
        <is>
          <t>제조사 공식</t>
        </is>
      </c>
      <c r="L44" s="57" t="inlineStr">
        <is>
          <t>STD-A 계열</t>
        </is>
      </c>
      <c r="M44" s="57" t="inlineStr">
        <is>
          <t>Nanlite LS-288 공식 108~288cm</t>
        </is>
      </c>
    </row>
    <row r="45">
      <c r="A45" s="57" t="inlineStr">
        <is>
          <t>STD-A-002</t>
        </is>
      </c>
      <c r="B45" s="57" t="inlineStr">
        <is>
          <t>스탠드(STD)</t>
        </is>
      </c>
      <c r="C45" s="57" t="inlineStr">
        <is>
          <t>A 스탠드</t>
        </is>
      </c>
      <c r="D45" s="58" t="n">
        <v>0.9</v>
      </c>
      <c r="E45" s="58" t="n">
        <v>0.9</v>
      </c>
      <c r="F45" s="58" t="n">
        <v>2</v>
      </c>
      <c r="G45" s="58" t="n">
        <v>1.08</v>
      </c>
      <c r="H45" s="58" t="n">
        <v>2.88</v>
      </c>
      <c r="I45" s="58" t="n">
        <v>1.8</v>
      </c>
      <c r="J45" s="58" t="n">
        <v>2</v>
      </c>
      <c r="K45" s="57" t="inlineStr">
        <is>
          <t>제조사 공식</t>
        </is>
      </c>
      <c r="L45" s="57" t="inlineStr">
        <is>
          <t>STD-A 계열</t>
        </is>
      </c>
      <c r="M45" s="57" t="inlineStr">
        <is>
          <t>Nanlite LS-288 공식 108~288cm</t>
        </is>
      </c>
    </row>
    <row r="46">
      <c r="A46" s="57" t="inlineStr">
        <is>
          <t>STD-A-003</t>
        </is>
      </c>
      <c r="B46" s="57" t="inlineStr">
        <is>
          <t>스탠드(STD)</t>
        </is>
      </c>
      <c r="C46" s="57" t="inlineStr">
        <is>
          <t>A 스탠드</t>
        </is>
      </c>
      <c r="D46" s="58" t="n">
        <v>0.9</v>
      </c>
      <c r="E46" s="58" t="n">
        <v>0.9</v>
      </c>
      <c r="F46" s="58" t="n">
        <v>2</v>
      </c>
      <c r="G46" s="58" t="n">
        <v>1.08</v>
      </c>
      <c r="H46" s="58" t="n">
        <v>2.88</v>
      </c>
      <c r="I46" s="58" t="n">
        <v>1.8</v>
      </c>
      <c r="J46" s="58" t="n">
        <v>2</v>
      </c>
      <c r="K46" s="57" t="inlineStr">
        <is>
          <t>제조사 공식</t>
        </is>
      </c>
      <c r="L46" s="57" t="inlineStr">
        <is>
          <t>STD-A 계열</t>
        </is>
      </c>
      <c r="M46" s="57" t="inlineStr">
        <is>
          <t>Nanlite LS-288 공식 108~288cm</t>
        </is>
      </c>
    </row>
    <row r="47">
      <c r="A47" s="57" t="inlineStr">
        <is>
          <t>STD-A-004</t>
        </is>
      </c>
      <c r="B47" s="57" t="inlineStr">
        <is>
          <t>스탠드(STD)</t>
        </is>
      </c>
      <c r="C47" s="57" t="inlineStr">
        <is>
          <t>A 스탠드</t>
        </is>
      </c>
      <c r="D47" s="58" t="n">
        <v>0.9</v>
      </c>
      <c r="E47" s="58" t="n">
        <v>0.9</v>
      </c>
      <c r="F47" s="58" t="n">
        <v>2</v>
      </c>
      <c r="G47" s="58" t="n">
        <v>1.08</v>
      </c>
      <c r="H47" s="58" t="n">
        <v>2.88</v>
      </c>
      <c r="I47" s="58" t="n">
        <v>1.8</v>
      </c>
      <c r="J47" s="58" t="n">
        <v>2</v>
      </c>
      <c r="K47" s="57" t="inlineStr">
        <is>
          <t>제조사 공식</t>
        </is>
      </c>
      <c r="L47" s="57" t="inlineStr">
        <is>
          <t>STD-A 계열</t>
        </is>
      </c>
      <c r="M47" s="57" t="inlineStr">
        <is>
          <t>Nanlite LS-288 공식 108~288cm</t>
        </is>
      </c>
    </row>
    <row r="48">
      <c r="A48" s="61" t="inlineStr">
        <is>
          <t>STD-T-001</t>
        </is>
      </c>
      <c r="B48" s="61" t="inlineStr">
        <is>
          <t>스탠드(STD)</t>
        </is>
      </c>
      <c r="C48" s="61" t="inlineStr">
        <is>
          <t>T 스탠드</t>
        </is>
      </c>
      <c r="D48" s="62" t="n">
        <v>1</v>
      </c>
      <c r="E48" s="62" t="n">
        <v>1</v>
      </c>
      <c r="F48" s="62" t="n">
        <v>1.8</v>
      </c>
      <c r="G48" s="62" t="n">
        <v>1</v>
      </c>
      <c r="H48" s="62" t="n">
        <v>2.4</v>
      </c>
      <c r="I48" s="62" t="n">
        <v>1.4</v>
      </c>
      <c r="J48" s="62" t="n">
        <v>1.8</v>
      </c>
      <c r="K48" s="61" t="inlineStr">
        <is>
          <t>업계 평균</t>
        </is>
      </c>
      <c r="L48" s="61" t="inlineStr">
        <is>
          <t>STD-T 계열</t>
        </is>
      </c>
      <c r="M48" s="61" t="inlineStr">
        <is>
          <t>배경 T스탠드 업계 평균 100~240cm</t>
        </is>
      </c>
    </row>
    <row r="49">
      <c r="A49" s="57" t="inlineStr">
        <is>
          <t>STD-C-001</t>
        </is>
      </c>
      <c r="B49" s="57" t="inlineStr">
        <is>
          <t>스탠드(STD)</t>
        </is>
      </c>
      <c r="C49" s="57" t="inlineStr">
        <is>
          <t>C 스탠드</t>
        </is>
      </c>
      <c r="D49" s="58" t="n">
        <v>1.05</v>
      </c>
      <c r="E49" s="58" t="n">
        <v>1.05</v>
      </c>
      <c r="F49" s="58" t="n">
        <v>2.2</v>
      </c>
      <c r="G49" s="58" t="n">
        <v>1.35</v>
      </c>
      <c r="H49" s="58" t="n">
        <v>3.2</v>
      </c>
      <c r="I49" s="58" t="n">
        <v>1.85</v>
      </c>
      <c r="J49" s="58" t="n">
        <v>2.2</v>
      </c>
      <c r="K49" s="57" t="inlineStr">
        <is>
          <t>제조사 공식</t>
        </is>
      </c>
      <c r="L49" s="57" t="inlineStr">
        <is>
          <t>STD-C 계열</t>
        </is>
      </c>
      <c r="M49" s="57" t="inlineStr">
        <is>
          <t>Matthews 40" 공식 최대 10.5ft(320cm), 최소 53in(135cm), 그립암 40in</t>
        </is>
      </c>
    </row>
    <row r="50">
      <c r="A50" s="57" t="inlineStr">
        <is>
          <t>STD-C-002</t>
        </is>
      </c>
      <c r="B50" s="57" t="inlineStr">
        <is>
          <t>스탠드(STD)</t>
        </is>
      </c>
      <c r="C50" s="57" t="inlineStr">
        <is>
          <t>C 스탠드</t>
        </is>
      </c>
      <c r="D50" s="58" t="n">
        <v>1.05</v>
      </c>
      <c r="E50" s="58" t="n">
        <v>1.05</v>
      </c>
      <c r="F50" s="58" t="n">
        <v>2.2</v>
      </c>
      <c r="G50" s="58" t="n">
        <v>1.35</v>
      </c>
      <c r="H50" s="58" t="n">
        <v>3.2</v>
      </c>
      <c r="I50" s="58" t="n">
        <v>1.85</v>
      </c>
      <c r="J50" s="58" t="n">
        <v>2.2</v>
      </c>
      <c r="K50" s="57" t="inlineStr">
        <is>
          <t>제조사 공식</t>
        </is>
      </c>
      <c r="L50" s="57" t="inlineStr">
        <is>
          <t>STD-C 계열</t>
        </is>
      </c>
      <c r="M50" s="57" t="inlineStr">
        <is>
          <t>Matthews 40" 공식 최대 10.5ft(320cm), 최소 53in(135cm), 그립암 40in</t>
        </is>
      </c>
    </row>
    <row r="51">
      <c r="A51" s="57" t="inlineStr">
        <is>
          <t>STD-C-003</t>
        </is>
      </c>
      <c r="B51" s="57" t="inlineStr">
        <is>
          <t>스탠드(STD)</t>
        </is>
      </c>
      <c r="C51" s="57" t="inlineStr">
        <is>
          <t>C 스탠드</t>
        </is>
      </c>
      <c r="D51" s="58" t="n">
        <v>1.05</v>
      </c>
      <c r="E51" s="58" t="n">
        <v>1.05</v>
      </c>
      <c r="F51" s="58" t="n">
        <v>2.2</v>
      </c>
      <c r="G51" s="58" t="n">
        <v>1.35</v>
      </c>
      <c r="H51" s="58" t="n">
        <v>3.2</v>
      </c>
      <c r="I51" s="58" t="n">
        <v>1.85</v>
      </c>
      <c r="J51" s="58" t="n">
        <v>2.2</v>
      </c>
      <c r="K51" s="57" t="inlineStr">
        <is>
          <t>제조사 공식</t>
        </is>
      </c>
      <c r="L51" s="57" t="inlineStr">
        <is>
          <t>STD-C 계열</t>
        </is>
      </c>
      <c r="M51" s="57" t="inlineStr">
        <is>
          <t>Matthews 40" 공식 최대 10.5ft(320cm), 최소 53in(135cm), 그립암 40in</t>
        </is>
      </c>
    </row>
    <row r="52">
      <c r="A52" s="61" t="inlineStr">
        <is>
          <t>STD-AS-001</t>
        </is>
      </c>
      <c r="B52" s="61" t="inlineStr">
        <is>
          <t>스탠드(STD)</t>
        </is>
      </c>
      <c r="C52" s="61" t="inlineStr">
        <is>
          <t>작은 A 스탠드</t>
        </is>
      </c>
      <c r="D52" s="62" t="n">
        <v>0.6</v>
      </c>
      <c r="E52" s="62" t="n">
        <v>0.6</v>
      </c>
      <c r="F52" s="62" t="n">
        <v>1.3</v>
      </c>
      <c r="G52" s="62" t="n">
        <v>0.49</v>
      </c>
      <c r="H52" s="62" t="n">
        <v>1.9</v>
      </c>
      <c r="I52" s="62" t="n">
        <v>1.41</v>
      </c>
      <c r="J52" s="62" t="n">
        <v>1.3</v>
      </c>
      <c r="K52" s="61" t="inlineStr">
        <is>
          <t>업계 평균</t>
        </is>
      </c>
      <c r="L52" s="61" t="inlineStr">
        <is>
          <t>STD-AS 계열</t>
        </is>
      </c>
      <c r="M52" s="61" t="inlineStr">
        <is>
          <t>컴팩트 스탠드 업계 평균 49~190cm</t>
        </is>
      </c>
    </row>
    <row r="53">
      <c r="A53" s="61" t="inlineStr">
        <is>
          <t>STD-AS-002</t>
        </is>
      </c>
      <c r="B53" s="61" t="inlineStr">
        <is>
          <t>스탠드(STD)</t>
        </is>
      </c>
      <c r="C53" s="61" t="inlineStr">
        <is>
          <t>작은 A 스탠드</t>
        </is>
      </c>
      <c r="D53" s="62" t="n">
        <v>0.6</v>
      </c>
      <c r="E53" s="62" t="n">
        <v>0.6</v>
      </c>
      <c r="F53" s="62" t="n">
        <v>1.3</v>
      </c>
      <c r="G53" s="62" t="n">
        <v>0.49</v>
      </c>
      <c r="H53" s="62" t="n">
        <v>1.9</v>
      </c>
      <c r="I53" s="62" t="n">
        <v>1.41</v>
      </c>
      <c r="J53" s="62" t="n">
        <v>1.3</v>
      </c>
      <c r="K53" s="61" t="inlineStr">
        <is>
          <t>업계 평균</t>
        </is>
      </c>
      <c r="L53" s="61" t="inlineStr">
        <is>
          <t>STD-AS 계열</t>
        </is>
      </c>
      <c r="M53" s="61" t="inlineStr">
        <is>
          <t>컴팩트 스탠드 업계 평균 49~190cm</t>
        </is>
      </c>
    </row>
    <row r="54">
      <c r="A54" s="59" t="inlineStr">
        <is>
          <t>ACC-006</t>
        </is>
      </c>
      <c r="B54" s="59" t="inlineStr">
        <is>
          <t>액세서리(ACC)</t>
        </is>
      </c>
      <c r="C54" s="59" t="inlineStr">
        <is>
          <t>작은 A 스탠드 연결 봉</t>
        </is>
      </c>
      <c r="D54" s="60" t="n">
        <v>0.25</v>
      </c>
      <c r="E54" s="60" t="n">
        <v>0.25</v>
      </c>
      <c r="F54" s="60" t="n">
        <v>0.15</v>
      </c>
      <c r="G54" s="60" t="inlineStr"/>
      <c r="H54" s="60" t="inlineStr"/>
      <c r="I54" s="60" t="inlineStr"/>
      <c r="J54" s="60" t="n">
        <v>0</v>
      </c>
      <c r="K54" s="59" t="inlineStr">
        <is>
          <t>추정</t>
        </is>
      </c>
      <c r="L54" s="59" t="inlineStr">
        <is>
          <t>카테고리 기본</t>
        </is>
      </c>
      <c r="M54" s="59" t="inlineStr"/>
    </row>
    <row r="55">
      <c r="A55" s="59" t="inlineStr">
        <is>
          <t>ACC-001</t>
        </is>
      </c>
      <c r="B55" s="59" t="inlineStr">
        <is>
          <t>액세서리(ACC)</t>
        </is>
      </c>
      <c r="C55" s="59" t="inlineStr">
        <is>
          <t>그립헤드, 암 세트</t>
        </is>
      </c>
      <c r="D55" s="60" t="n">
        <v>0.25</v>
      </c>
      <c r="E55" s="60" t="n">
        <v>0.25</v>
      </c>
      <c r="F55" s="60" t="n">
        <v>0.15</v>
      </c>
      <c r="G55" s="60" t="inlineStr"/>
      <c r="H55" s="60" t="inlineStr"/>
      <c r="I55" s="60" t="inlineStr"/>
      <c r="J55" s="60" t="n">
        <v>0</v>
      </c>
      <c r="K55" s="59" t="inlineStr">
        <is>
          <t>추정</t>
        </is>
      </c>
      <c r="L55" s="59" t="inlineStr">
        <is>
          <t>카테고리 기본</t>
        </is>
      </c>
      <c r="M55" s="59" t="inlineStr"/>
    </row>
    <row r="56">
      <c r="A56" s="59" t="inlineStr">
        <is>
          <t>ACC-002</t>
        </is>
      </c>
      <c r="B56" s="59" t="inlineStr">
        <is>
          <t>액세서리(ACC)</t>
        </is>
      </c>
      <c r="C56" s="59" t="inlineStr">
        <is>
          <t>그립헤드, 암 세트</t>
        </is>
      </c>
      <c r="D56" s="60" t="n">
        <v>0.25</v>
      </c>
      <c r="E56" s="60" t="n">
        <v>0.25</v>
      </c>
      <c r="F56" s="60" t="n">
        <v>0.15</v>
      </c>
      <c r="G56" s="60" t="inlineStr"/>
      <c r="H56" s="60" t="inlineStr"/>
      <c r="I56" s="60" t="inlineStr"/>
      <c r="J56" s="60" t="n">
        <v>0</v>
      </c>
      <c r="K56" s="59" t="inlineStr">
        <is>
          <t>추정</t>
        </is>
      </c>
      <c r="L56" s="59" t="inlineStr">
        <is>
          <t>카테고리 기본</t>
        </is>
      </c>
      <c r="M56" s="59" t="inlineStr"/>
    </row>
    <row r="57">
      <c r="A57" s="59" t="inlineStr">
        <is>
          <t>ACC-003</t>
        </is>
      </c>
      <c r="B57" s="59" t="inlineStr">
        <is>
          <t>액세서리(ACC)</t>
        </is>
      </c>
      <c r="C57" s="59" t="inlineStr">
        <is>
          <t>그립헤드, 암 세트</t>
        </is>
      </c>
      <c r="D57" s="60" t="n">
        <v>0.25</v>
      </c>
      <c r="E57" s="60" t="n">
        <v>0.25</v>
      </c>
      <c r="F57" s="60" t="n">
        <v>0.15</v>
      </c>
      <c r="G57" s="60" t="inlineStr"/>
      <c r="H57" s="60" t="inlineStr"/>
      <c r="I57" s="60" t="inlineStr"/>
      <c r="J57" s="60" t="n">
        <v>0</v>
      </c>
      <c r="K57" s="59" t="inlineStr">
        <is>
          <t>추정</t>
        </is>
      </c>
      <c r="L57" s="59" t="inlineStr">
        <is>
          <t>카테고리 기본</t>
        </is>
      </c>
      <c r="M57" s="59" t="inlineStr"/>
    </row>
    <row r="58">
      <c r="A58" s="59" t="inlineStr">
        <is>
          <t>ACC-007</t>
        </is>
      </c>
      <c r="B58" s="59" t="inlineStr">
        <is>
          <t>액세서리(ACC)</t>
        </is>
      </c>
      <c r="C58" s="59" t="inlineStr">
        <is>
          <t>SmallRig Tripod Dolly</t>
        </is>
      </c>
      <c r="D58" s="60" t="n">
        <v>0.25</v>
      </c>
      <c r="E58" s="60" t="n">
        <v>0.25</v>
      </c>
      <c r="F58" s="60" t="n">
        <v>0.15</v>
      </c>
      <c r="G58" s="60" t="inlineStr"/>
      <c r="H58" s="60" t="inlineStr"/>
      <c r="I58" s="60" t="inlineStr"/>
      <c r="J58" s="60" t="n">
        <v>0</v>
      </c>
      <c r="K58" s="59" t="inlineStr">
        <is>
          <t>추정</t>
        </is>
      </c>
      <c r="L58" s="59" t="inlineStr">
        <is>
          <t>카테고리 기본</t>
        </is>
      </c>
      <c r="M58" s="59" t="inlineStr"/>
    </row>
    <row r="59">
      <c r="A59" s="59" t="inlineStr">
        <is>
          <t>BAT-FZ-001</t>
        </is>
      </c>
      <c r="B59" s="59" t="inlineStr">
        <is>
          <t>배터리(BAT)</t>
        </is>
      </c>
      <c r="C59" s="59" t="inlineStr">
        <is>
          <t>Sony FZ100</t>
        </is>
      </c>
      <c r="D59" s="60" t="n">
        <v>0.15</v>
      </c>
      <c r="E59" s="60" t="n">
        <v>0.1</v>
      </c>
      <c r="F59" s="60" t="n">
        <v>0.08</v>
      </c>
      <c r="G59" s="60" t="inlineStr"/>
      <c r="H59" s="60" t="inlineStr"/>
      <c r="I59" s="60" t="inlineStr"/>
      <c r="J59" s="60" t="n">
        <v>0</v>
      </c>
      <c r="K59" s="59" t="inlineStr">
        <is>
          <t>추정</t>
        </is>
      </c>
      <c r="L59" s="59" t="inlineStr">
        <is>
          <t>카테고리 기본</t>
        </is>
      </c>
      <c r="M59" s="59" t="inlineStr"/>
    </row>
    <row r="60">
      <c r="A60" s="59" t="inlineStr">
        <is>
          <t>BAT-FZ-002</t>
        </is>
      </c>
      <c r="B60" s="59" t="inlineStr">
        <is>
          <t>배터리(BAT)</t>
        </is>
      </c>
      <c r="C60" s="59" t="inlineStr">
        <is>
          <t>Sony FZ100</t>
        </is>
      </c>
      <c r="D60" s="60" t="n">
        <v>0.15</v>
      </c>
      <c r="E60" s="60" t="n">
        <v>0.1</v>
      </c>
      <c r="F60" s="60" t="n">
        <v>0.08</v>
      </c>
      <c r="G60" s="60" t="inlineStr"/>
      <c r="H60" s="60" t="inlineStr"/>
      <c r="I60" s="60" t="inlineStr"/>
      <c r="J60" s="60" t="n">
        <v>0</v>
      </c>
      <c r="K60" s="59" t="inlineStr">
        <is>
          <t>추정</t>
        </is>
      </c>
      <c r="L60" s="59" t="inlineStr">
        <is>
          <t>카테고리 기본</t>
        </is>
      </c>
      <c r="M60" s="59" t="inlineStr"/>
    </row>
    <row r="61">
      <c r="A61" s="59" t="inlineStr">
        <is>
          <t>BAT-FZ-003</t>
        </is>
      </c>
      <c r="B61" s="59" t="inlineStr">
        <is>
          <t>배터리(BAT)</t>
        </is>
      </c>
      <c r="C61" s="59" t="inlineStr">
        <is>
          <t>Sony FZ100</t>
        </is>
      </c>
      <c r="D61" s="60" t="n">
        <v>0.15</v>
      </c>
      <c r="E61" s="60" t="n">
        <v>0.1</v>
      </c>
      <c r="F61" s="60" t="n">
        <v>0.08</v>
      </c>
      <c r="G61" s="60" t="inlineStr"/>
      <c r="H61" s="60" t="inlineStr"/>
      <c r="I61" s="60" t="inlineStr"/>
      <c r="J61" s="60" t="n">
        <v>0</v>
      </c>
      <c r="K61" s="59" t="inlineStr">
        <is>
          <t>추정</t>
        </is>
      </c>
      <c r="L61" s="59" t="inlineStr">
        <is>
          <t>카테고리 기본</t>
        </is>
      </c>
      <c r="M61" s="59" t="inlineStr"/>
    </row>
    <row r="62">
      <c r="A62" s="59" t="inlineStr">
        <is>
          <t>BAT-FZ-004</t>
        </is>
      </c>
      <c r="B62" s="59" t="inlineStr">
        <is>
          <t>배터리(BAT)</t>
        </is>
      </c>
      <c r="C62" s="59" t="inlineStr">
        <is>
          <t>Sony FZ100</t>
        </is>
      </c>
      <c r="D62" s="60" t="n">
        <v>0.15</v>
      </c>
      <c r="E62" s="60" t="n">
        <v>0.1</v>
      </c>
      <c r="F62" s="60" t="n">
        <v>0.08</v>
      </c>
      <c r="G62" s="60" t="inlineStr"/>
      <c r="H62" s="60" t="inlineStr"/>
      <c r="I62" s="60" t="inlineStr"/>
      <c r="J62" s="60" t="n">
        <v>0</v>
      </c>
      <c r="K62" s="59" t="inlineStr">
        <is>
          <t>추정</t>
        </is>
      </c>
      <c r="L62" s="59" t="inlineStr">
        <is>
          <t>카테고리 기본</t>
        </is>
      </c>
      <c r="M62" s="59" t="inlineStr"/>
    </row>
    <row r="63">
      <c r="A63" s="59" t="inlineStr">
        <is>
          <t>BAT-F-001</t>
        </is>
      </c>
      <c r="B63" s="59" t="inlineStr">
        <is>
          <t>배터리(BAT)</t>
        </is>
      </c>
      <c r="C63" s="59" t="inlineStr">
        <is>
          <t>FARSEEING F 마운트 배터리</t>
        </is>
      </c>
      <c r="D63" s="60" t="n">
        <v>0.15</v>
      </c>
      <c r="E63" s="60" t="n">
        <v>0.1</v>
      </c>
      <c r="F63" s="60" t="n">
        <v>0.08</v>
      </c>
      <c r="G63" s="60" t="inlineStr"/>
      <c r="H63" s="60" t="inlineStr"/>
      <c r="I63" s="60" t="inlineStr"/>
      <c r="J63" s="60" t="n">
        <v>0</v>
      </c>
      <c r="K63" s="59" t="inlineStr">
        <is>
          <t>추정</t>
        </is>
      </c>
      <c r="L63" s="59" t="inlineStr">
        <is>
          <t>카테고리 기본</t>
        </is>
      </c>
      <c r="M63" s="59" t="inlineStr"/>
    </row>
    <row r="64">
      <c r="A64" s="59" t="inlineStr">
        <is>
          <t>BAT-F-002</t>
        </is>
      </c>
      <c r="B64" s="59" t="inlineStr">
        <is>
          <t>배터리(BAT)</t>
        </is>
      </c>
      <c r="C64" s="59" t="inlineStr">
        <is>
          <t>스몰리그 NP-F970 배터리</t>
        </is>
      </c>
      <c r="D64" s="60" t="n">
        <v>0.15</v>
      </c>
      <c r="E64" s="60" t="n">
        <v>0.1</v>
      </c>
      <c r="F64" s="60" t="n">
        <v>0.08</v>
      </c>
      <c r="G64" s="60" t="inlineStr"/>
      <c r="H64" s="60" t="inlineStr"/>
      <c r="I64" s="60" t="inlineStr"/>
      <c r="J64" s="60" t="n">
        <v>0</v>
      </c>
      <c r="K64" s="59" t="inlineStr">
        <is>
          <t>추정</t>
        </is>
      </c>
      <c r="L64" s="59" t="inlineStr">
        <is>
          <t>카테고리 기본</t>
        </is>
      </c>
      <c r="M64" s="59" t="inlineStr"/>
    </row>
    <row r="65">
      <c r="A65" s="59" t="inlineStr">
        <is>
          <t>BAT-F-003</t>
        </is>
      </c>
      <c r="B65" s="59" t="inlineStr">
        <is>
          <t>배터리(BAT)</t>
        </is>
      </c>
      <c r="C65" s="59" t="inlineStr">
        <is>
          <t>스몰리그 NP-F970 배터리</t>
        </is>
      </c>
      <c r="D65" s="60" t="n">
        <v>0.15</v>
      </c>
      <c r="E65" s="60" t="n">
        <v>0.1</v>
      </c>
      <c r="F65" s="60" t="n">
        <v>0.08</v>
      </c>
      <c r="G65" s="60" t="inlineStr"/>
      <c r="H65" s="60" t="inlineStr"/>
      <c r="I65" s="60" t="inlineStr"/>
      <c r="J65" s="60" t="n">
        <v>0</v>
      </c>
      <c r="K65" s="59" t="inlineStr">
        <is>
          <t>추정</t>
        </is>
      </c>
      <c r="L65" s="59" t="inlineStr">
        <is>
          <t>카테고리 기본</t>
        </is>
      </c>
      <c r="M65" s="59" t="inlineStr"/>
    </row>
    <row r="66">
      <c r="A66" s="59" t="inlineStr">
        <is>
          <t>BAT-V-001</t>
        </is>
      </c>
      <c r="B66" s="59" t="inlineStr">
        <is>
          <t>배터리(BAT)</t>
        </is>
      </c>
      <c r="C66" s="59" t="inlineStr">
        <is>
          <t>GenTree V마운트 배터리 195w</t>
        </is>
      </c>
      <c r="D66" s="60" t="n">
        <v>0.15</v>
      </c>
      <c r="E66" s="60" t="n">
        <v>0.1</v>
      </c>
      <c r="F66" s="60" t="n">
        <v>0.08</v>
      </c>
      <c r="G66" s="60" t="inlineStr"/>
      <c r="H66" s="60" t="inlineStr"/>
      <c r="I66" s="60" t="inlineStr"/>
      <c r="J66" s="60" t="n">
        <v>0</v>
      </c>
      <c r="K66" s="59" t="inlineStr">
        <is>
          <t>추정</t>
        </is>
      </c>
      <c r="L66" s="59" t="inlineStr">
        <is>
          <t>카테고리 기본</t>
        </is>
      </c>
      <c r="M66" s="59" t="inlineStr"/>
    </row>
    <row r="67">
      <c r="A67" s="59" t="inlineStr">
        <is>
          <t>BAT-V-002</t>
        </is>
      </c>
      <c r="B67" s="59" t="inlineStr">
        <is>
          <t>배터리(BAT)</t>
        </is>
      </c>
      <c r="C67" s="59" t="inlineStr">
        <is>
          <t>GenTree V마운트 배터리 195w</t>
        </is>
      </c>
      <c r="D67" s="60" t="n">
        <v>0.15</v>
      </c>
      <c r="E67" s="60" t="n">
        <v>0.1</v>
      </c>
      <c r="F67" s="60" t="n">
        <v>0.08</v>
      </c>
      <c r="G67" s="60" t="inlineStr"/>
      <c r="H67" s="60" t="inlineStr"/>
      <c r="I67" s="60" t="inlineStr"/>
      <c r="J67" s="60" t="n">
        <v>0</v>
      </c>
      <c r="K67" s="59" t="inlineStr">
        <is>
          <t>추정</t>
        </is>
      </c>
      <c r="L67" s="59" t="inlineStr">
        <is>
          <t>카테고리 기본</t>
        </is>
      </c>
      <c r="M67" s="59" t="inlineStr"/>
    </row>
    <row r="68">
      <c r="A68" s="59" t="inlineStr">
        <is>
          <t>BAT-V-003</t>
        </is>
      </c>
      <c r="B68" s="59" t="inlineStr">
        <is>
          <t>배터리(BAT)</t>
        </is>
      </c>
      <c r="C68" s="59" t="inlineStr">
        <is>
          <t>GenTree V마운트 배터리 195w</t>
        </is>
      </c>
      <c r="D68" s="60" t="n">
        <v>0.15</v>
      </c>
      <c r="E68" s="60" t="n">
        <v>0.1</v>
      </c>
      <c r="F68" s="60" t="n">
        <v>0.08</v>
      </c>
      <c r="G68" s="60" t="inlineStr"/>
      <c r="H68" s="60" t="inlineStr"/>
      <c r="I68" s="60" t="inlineStr"/>
      <c r="J68" s="60" t="n">
        <v>0</v>
      </c>
      <c r="K68" s="59" t="inlineStr">
        <is>
          <t>추정</t>
        </is>
      </c>
      <c r="L68" s="59" t="inlineStr">
        <is>
          <t>카테고리 기본</t>
        </is>
      </c>
      <c r="M68" s="59" t="inlineStr"/>
    </row>
    <row r="69">
      <c r="A69" s="59" t="inlineStr">
        <is>
          <t>BAT-V-004</t>
        </is>
      </c>
      <c r="B69" s="59" t="inlineStr">
        <is>
          <t>배터리(BAT)</t>
        </is>
      </c>
      <c r="C69" s="59" t="inlineStr">
        <is>
          <t>FXLION V마운트 배터리 100w</t>
        </is>
      </c>
      <c r="D69" s="60" t="n">
        <v>0.15</v>
      </c>
      <c r="E69" s="60" t="n">
        <v>0.1</v>
      </c>
      <c r="F69" s="60" t="n">
        <v>0.08</v>
      </c>
      <c r="G69" s="60" t="inlineStr"/>
      <c r="H69" s="60" t="inlineStr"/>
      <c r="I69" s="60" t="inlineStr"/>
      <c r="J69" s="60" t="n">
        <v>0</v>
      </c>
      <c r="K69" s="59" t="inlineStr">
        <is>
          <t>추정</t>
        </is>
      </c>
      <c r="L69" s="59" t="inlineStr">
        <is>
          <t>카테고리 기본</t>
        </is>
      </c>
      <c r="M69" s="59" t="inlineStr"/>
    </row>
    <row r="70">
      <c r="A70" s="59" t="inlineStr">
        <is>
          <t>ACC-004</t>
        </is>
      </c>
      <c r="B70" s="59" t="inlineStr">
        <is>
          <t>액세서리(ACC)</t>
        </is>
      </c>
      <c r="C70" s="59" t="inlineStr">
        <is>
          <t>HOLLYLAND Solidcom SE 5S</t>
        </is>
      </c>
      <c r="D70" s="60" t="n">
        <v>0.25</v>
      </c>
      <c r="E70" s="60" t="n">
        <v>0.25</v>
      </c>
      <c r="F70" s="60" t="n">
        <v>0.15</v>
      </c>
      <c r="G70" s="60" t="inlineStr"/>
      <c r="H70" s="60" t="inlineStr"/>
      <c r="I70" s="60" t="inlineStr"/>
      <c r="J70" s="60" t="n">
        <v>0</v>
      </c>
      <c r="K70" s="59" t="inlineStr">
        <is>
          <t>추정</t>
        </is>
      </c>
      <c r="L70" s="59" t="inlineStr">
        <is>
          <t>카테고리 기본</t>
        </is>
      </c>
      <c r="M70" s="59" t="inlineStr"/>
    </row>
    <row r="71">
      <c r="A71" s="59" t="inlineStr">
        <is>
          <t>ACC-005</t>
        </is>
      </c>
      <c r="B71" s="59" t="inlineStr">
        <is>
          <t>액세서리(ACC)</t>
        </is>
      </c>
      <c r="C71" s="59" t="inlineStr">
        <is>
          <t>HOLLYLAND MARS 400s PRO</t>
        </is>
      </c>
      <c r="D71" s="60" t="n">
        <v>0.25</v>
      </c>
      <c r="E71" s="60" t="n">
        <v>0.25</v>
      </c>
      <c r="F71" s="60" t="n">
        <v>0.15</v>
      </c>
      <c r="G71" s="60" t="inlineStr"/>
      <c r="H71" s="60" t="inlineStr"/>
      <c r="I71" s="60" t="inlineStr"/>
      <c r="J71" s="60" t="n">
        <v>0</v>
      </c>
      <c r="K71" s="59" t="inlineStr">
        <is>
          <t>추정</t>
        </is>
      </c>
      <c r="L71" s="59" t="inlineStr">
        <is>
          <t>카테고리 기본</t>
        </is>
      </c>
      <c r="M71" s="59" t="inlineStr"/>
    </row>
    <row r="72">
      <c r="A72" s="59" t="inlineStr">
        <is>
          <t>MOD-010</t>
        </is>
      </c>
      <c r="B72" s="59" t="inlineStr">
        <is>
          <t>조명 모디파이어(MOD)</t>
        </is>
      </c>
      <c r="C72" s="59" t="inlineStr">
        <is>
          <t>Triflector MkII Kit 프레임 Sunfire/Silver 반사판 스탠드 키트</t>
        </is>
      </c>
      <c r="D72" s="60" t="n">
        <v>0.75</v>
      </c>
      <c r="E72" s="60" t="n">
        <v>0.03</v>
      </c>
      <c r="F72" s="60" t="n">
        <v>0.9</v>
      </c>
      <c r="G72" s="60" t="inlineStr"/>
      <c r="H72" s="60" t="inlineStr"/>
      <c r="I72" s="60" t="inlineStr"/>
      <c r="J72" s="60" t="n">
        <v>1.85</v>
      </c>
      <c r="K72" s="59" t="inlineStr">
        <is>
          <t>추정</t>
        </is>
      </c>
      <c r="L72" s="59" t="inlineStr">
        <is>
          <t>자산 전용</t>
        </is>
      </c>
      <c r="M72" s="59" t="inlineStr"/>
    </row>
    <row r="73">
      <c r="A73" s="57" t="inlineStr">
        <is>
          <t>GIM-001</t>
        </is>
      </c>
      <c r="B73" s="57" t="inlineStr">
        <is>
          <t>짐벌(GIM)</t>
        </is>
      </c>
      <c r="C73" s="57" t="inlineStr">
        <is>
          <t>DJI RS4 PRO</t>
        </is>
      </c>
      <c r="D73" s="58" t="n">
        <v>0.202</v>
      </c>
      <c r="E73" s="58" t="n">
        <v>0.268</v>
      </c>
      <c r="F73" s="58" t="n">
        <v>0.415</v>
      </c>
      <c r="G73" s="58" t="inlineStr"/>
      <c r="H73" s="58" t="inlineStr"/>
      <c r="I73" s="58" t="inlineStr"/>
      <c r="J73" s="58" t="n">
        <v>0</v>
      </c>
      <c r="K73" s="57" t="inlineStr">
        <is>
          <t>제조사 공식</t>
        </is>
      </c>
      <c r="L73" s="57" t="inlineStr">
        <is>
          <t>자산 전용</t>
        </is>
      </c>
      <c r="M73" s="57" t="inlineStr">
        <is>
          <t>DJI 공식 267.8×201.9×415mm</t>
        </is>
      </c>
    </row>
    <row r="74">
      <c r="A74" s="59" t="inlineStr">
        <is>
          <t>STO-001</t>
        </is>
      </c>
      <c r="B74" s="59" t="inlineStr">
        <is>
          <t>저장매체(STO)</t>
        </is>
      </c>
      <c r="C74" s="59" t="inlineStr">
        <is>
          <t>TOUGH SD 128GB</t>
        </is>
      </c>
      <c r="D74" s="60" t="n">
        <v>0.05</v>
      </c>
      <c r="E74" s="60" t="n">
        <v>0.06</v>
      </c>
      <c r="F74" s="60" t="n">
        <v>0.01</v>
      </c>
      <c r="G74" s="60" t="inlineStr"/>
      <c r="H74" s="60" t="inlineStr"/>
      <c r="I74" s="60" t="inlineStr"/>
      <c r="J74" s="60" t="n">
        <v>0</v>
      </c>
      <c r="K74" s="59" t="inlineStr">
        <is>
          <t>추정</t>
        </is>
      </c>
      <c r="L74" s="59" t="inlineStr">
        <is>
          <t>카테고리 기본</t>
        </is>
      </c>
      <c r="M74" s="59" t="inlineStr"/>
    </row>
    <row r="75">
      <c r="A75" s="59" t="inlineStr">
        <is>
          <t>STO-002</t>
        </is>
      </c>
      <c r="B75" s="59" t="inlineStr">
        <is>
          <t>저장매체(STO)</t>
        </is>
      </c>
      <c r="C75" s="59" t="inlineStr">
        <is>
          <t>TOUGH SD 128GB</t>
        </is>
      </c>
      <c r="D75" s="60" t="n">
        <v>0.05</v>
      </c>
      <c r="E75" s="60" t="n">
        <v>0.06</v>
      </c>
      <c r="F75" s="60" t="n">
        <v>0.01</v>
      </c>
      <c r="G75" s="60" t="inlineStr"/>
      <c r="H75" s="60" t="inlineStr"/>
      <c r="I75" s="60" t="inlineStr"/>
      <c r="J75" s="60" t="n">
        <v>0</v>
      </c>
      <c r="K75" s="59" t="inlineStr">
        <is>
          <t>추정</t>
        </is>
      </c>
      <c r="L75" s="59" t="inlineStr">
        <is>
          <t>카테고리 기본</t>
        </is>
      </c>
      <c r="M75" s="59" t="inlineStr"/>
    </row>
    <row r="76">
      <c r="A76" s="59" t="inlineStr">
        <is>
          <t>STO-003</t>
        </is>
      </c>
      <c r="B76" s="59" t="inlineStr">
        <is>
          <t>저장매체(STO)</t>
        </is>
      </c>
      <c r="C76" s="59" t="inlineStr">
        <is>
          <t>TOUCH CF express 160GB</t>
        </is>
      </c>
      <c r="D76" s="60" t="n">
        <v>0.05</v>
      </c>
      <c r="E76" s="60" t="n">
        <v>0.06</v>
      </c>
      <c r="F76" s="60" t="n">
        <v>0.01</v>
      </c>
      <c r="G76" s="60" t="inlineStr"/>
      <c r="H76" s="60" t="inlineStr"/>
      <c r="I76" s="60" t="inlineStr"/>
      <c r="J76" s="60" t="n">
        <v>0</v>
      </c>
      <c r="K76" s="59" t="inlineStr">
        <is>
          <t>추정</t>
        </is>
      </c>
      <c r="L76" s="59" t="inlineStr">
        <is>
          <t>카테고리 기본</t>
        </is>
      </c>
      <c r="M76" s="59" t="inlineStr"/>
    </row>
    <row r="77">
      <c r="A77" s="59" t="inlineStr">
        <is>
          <t>STO-004</t>
        </is>
      </c>
      <c r="B77" s="59" t="inlineStr">
        <is>
          <t>저장매체(STO)</t>
        </is>
      </c>
      <c r="C77" s="59" t="inlineStr">
        <is>
          <t>TOUCH CF express 160GB</t>
        </is>
      </c>
      <c r="D77" s="60" t="n">
        <v>0.05</v>
      </c>
      <c r="E77" s="60" t="n">
        <v>0.06</v>
      </c>
      <c r="F77" s="60" t="n">
        <v>0.01</v>
      </c>
      <c r="G77" s="60" t="inlineStr"/>
      <c r="H77" s="60" t="inlineStr"/>
      <c r="I77" s="60" t="inlineStr"/>
      <c r="J77" s="60" t="n">
        <v>0</v>
      </c>
      <c r="K77" s="59" t="inlineStr">
        <is>
          <t>추정</t>
        </is>
      </c>
      <c r="L77" s="59" t="inlineStr">
        <is>
          <t>카테고리 기본</t>
        </is>
      </c>
      <c r="M77" s="59" t="inlineStr"/>
    </row>
    <row r="78">
      <c r="A78" s="59" t="inlineStr">
        <is>
          <t>STO-005</t>
        </is>
      </c>
      <c r="B78" s="59" t="inlineStr">
        <is>
          <t>저장매체(STO)</t>
        </is>
      </c>
      <c r="C78" s="59" t="inlineStr">
        <is>
          <t>64GB</t>
        </is>
      </c>
      <c r="D78" s="60" t="n">
        <v>0.05</v>
      </c>
      <c r="E78" s="60" t="n">
        <v>0.06</v>
      </c>
      <c r="F78" s="60" t="n">
        <v>0.01</v>
      </c>
      <c r="G78" s="60" t="inlineStr"/>
      <c r="H78" s="60" t="inlineStr"/>
      <c r="I78" s="60" t="inlineStr"/>
      <c r="J78" s="60" t="n">
        <v>0</v>
      </c>
      <c r="K78" s="59" t="inlineStr">
        <is>
          <t>추정</t>
        </is>
      </c>
      <c r="L78" s="59" t="inlineStr">
        <is>
          <t>카테고리 기본</t>
        </is>
      </c>
      <c r="M78" s="59" t="inlineStr"/>
    </row>
    <row r="79">
      <c r="A79" s="59" t="inlineStr">
        <is>
          <t>MOD-006</t>
        </is>
      </c>
      <c r="B79" s="59" t="inlineStr">
        <is>
          <t>조명 모디파이어(MOD)</t>
        </is>
      </c>
      <c r="C79" s="59" t="inlineStr">
        <is>
          <t>NANLINK BOX</t>
        </is>
      </c>
      <c r="D79" s="60" t="n">
        <v>0.8</v>
      </c>
      <c r="E79" s="60" t="n">
        <v>0.5</v>
      </c>
      <c r="F79" s="60" t="n">
        <v>0.8</v>
      </c>
      <c r="G79" s="60" t="inlineStr"/>
      <c r="H79" s="60" t="inlineStr"/>
      <c r="I79" s="60" t="inlineStr"/>
      <c r="J79" s="60" t="n">
        <v>1.85</v>
      </c>
      <c r="K79" s="59" t="inlineStr">
        <is>
          <t>추정</t>
        </is>
      </c>
      <c r="L79" s="59" t="inlineStr">
        <is>
          <t>카테고리 기본</t>
        </is>
      </c>
      <c r="M79" s="59" t="inlineStr"/>
    </row>
    <row r="80">
      <c r="A80" s="59" t="inlineStr">
        <is>
          <t>ETC-001</t>
        </is>
      </c>
      <c r="B80" s="59" t="inlineStr">
        <is>
          <t>기타(ETC)</t>
        </is>
      </c>
      <c r="C80" s="59" t="inlineStr">
        <is>
          <t>카트</t>
        </is>
      </c>
      <c r="D80" s="60" t="n">
        <v>0.6</v>
      </c>
      <c r="E80" s="60" t="n">
        <v>0.95</v>
      </c>
      <c r="F80" s="60" t="n">
        <v>1</v>
      </c>
      <c r="G80" s="60" t="inlineStr"/>
      <c r="H80" s="60" t="inlineStr"/>
      <c r="I80" s="60" t="inlineStr"/>
      <c r="J80" s="60" t="n">
        <v>0</v>
      </c>
      <c r="K80" s="59" t="inlineStr">
        <is>
          <t>추정</t>
        </is>
      </c>
      <c r="L80" s="59" t="inlineStr">
        <is>
          <t>자산 전용</t>
        </is>
      </c>
      <c r="M80" s="59" t="inlineStr"/>
    </row>
    <row r="81">
      <c r="A81" s="59" t="inlineStr">
        <is>
          <t>ETC-002</t>
        </is>
      </c>
      <c r="B81" s="59" t="inlineStr">
        <is>
          <t>기타(ETC)</t>
        </is>
      </c>
      <c r="C81" s="59" t="inlineStr">
        <is>
          <t>구르마</t>
        </is>
      </c>
      <c r="D81" s="60" t="n">
        <v>0.5</v>
      </c>
      <c r="E81" s="60" t="n">
        <v>0.55</v>
      </c>
      <c r="F81" s="60" t="n">
        <v>1.25</v>
      </c>
      <c r="G81" s="60" t="inlineStr"/>
      <c r="H81" s="60" t="inlineStr"/>
      <c r="I81" s="60" t="inlineStr"/>
      <c r="J81" s="60" t="n">
        <v>0</v>
      </c>
      <c r="K81" s="59" t="inlineStr">
        <is>
          <t>추정</t>
        </is>
      </c>
      <c r="L81" s="59" t="inlineStr">
        <is>
          <t>자산 전용</t>
        </is>
      </c>
      <c r="M81" s="59" t="inlineStr"/>
    </row>
    <row r="82">
      <c r="A82" s="59" t="inlineStr">
        <is>
          <t>ETC-003</t>
        </is>
      </c>
      <c r="B82" s="59" t="inlineStr">
        <is>
          <t>기타(ETC)</t>
        </is>
      </c>
      <c r="C82" s="59" t="inlineStr">
        <is>
          <t>왜건</t>
        </is>
      </c>
      <c r="D82" s="60" t="n">
        <v>0.6</v>
      </c>
      <c r="E82" s="60" t="n">
        <v>0.95</v>
      </c>
      <c r="F82" s="60" t="n">
        <v>0.95</v>
      </c>
      <c r="G82" s="60" t="inlineStr"/>
      <c r="H82" s="60" t="inlineStr"/>
      <c r="I82" s="60" t="inlineStr"/>
      <c r="J82" s="60" t="n">
        <v>0</v>
      </c>
      <c r="K82" s="59" t="inlineStr">
        <is>
          <t>추정</t>
        </is>
      </c>
      <c r="L82" s="59" t="inlineStr">
        <is>
          <t>자산 전용</t>
        </is>
      </c>
      <c r="M82" s="59" t="inlineStr"/>
    </row>
    <row r="83">
      <c r="A83" s="59" t="inlineStr">
        <is>
          <t>PWR-001</t>
        </is>
      </c>
      <c r="B83" s="59" t="inlineStr">
        <is>
          <t>충전기/전원(PWR)</t>
        </is>
      </c>
      <c r="C83" s="59" t="inlineStr">
        <is>
          <t>전기릴선</t>
        </is>
      </c>
      <c r="D83" s="60" t="n">
        <v>0.3</v>
      </c>
      <c r="E83" s="60" t="n">
        <v>0.3</v>
      </c>
      <c r="F83" s="60" t="n">
        <v>0.18</v>
      </c>
      <c r="G83" s="60" t="inlineStr"/>
      <c r="H83" s="60" t="inlineStr"/>
      <c r="I83" s="60" t="inlineStr"/>
      <c r="J83" s="60" t="n">
        <v>0</v>
      </c>
      <c r="K83" s="59" t="inlineStr">
        <is>
          <t>추정</t>
        </is>
      </c>
      <c r="L83" s="59" t="inlineStr">
        <is>
          <t>카테고리 기본</t>
        </is>
      </c>
      <c r="M83" s="59" t="inlineStr"/>
    </row>
    <row r="84">
      <c r="A84" s="59" t="inlineStr">
        <is>
          <t>PWR-002</t>
        </is>
      </c>
      <c r="B84" s="59" t="inlineStr">
        <is>
          <t>충전기/전원(PWR)</t>
        </is>
      </c>
      <c r="C84" s="59" t="inlineStr">
        <is>
          <t>전기릴선</t>
        </is>
      </c>
      <c r="D84" s="60" t="n">
        <v>0.3</v>
      </c>
      <c r="E84" s="60" t="n">
        <v>0.3</v>
      </c>
      <c r="F84" s="60" t="n">
        <v>0.18</v>
      </c>
      <c r="G84" s="60" t="inlineStr"/>
      <c r="H84" s="60" t="inlineStr"/>
      <c r="I84" s="60" t="inlineStr"/>
      <c r="J84" s="60" t="n">
        <v>0</v>
      </c>
      <c r="K84" s="59" t="inlineStr">
        <is>
          <t>추정</t>
        </is>
      </c>
      <c r="L84" s="59" t="inlineStr">
        <is>
          <t>카테고리 기본</t>
        </is>
      </c>
      <c r="M84" s="59" t="inlineStr"/>
    </row>
    <row r="85">
      <c r="A85" s="59" t="inlineStr">
        <is>
          <t>PWR-003</t>
        </is>
      </c>
      <c r="B85" s="59" t="inlineStr">
        <is>
          <t>충전기/전원(PWR)</t>
        </is>
      </c>
      <c r="C85" s="59" t="inlineStr">
        <is>
          <t>전기릴선</t>
        </is>
      </c>
      <c r="D85" s="60" t="n">
        <v>0.3</v>
      </c>
      <c r="E85" s="60" t="n">
        <v>0.3</v>
      </c>
      <c r="F85" s="60" t="n">
        <v>0.18</v>
      </c>
      <c r="G85" s="60" t="inlineStr"/>
      <c r="H85" s="60" t="inlineStr"/>
      <c r="I85" s="60" t="inlineStr"/>
      <c r="J85" s="60" t="n">
        <v>0</v>
      </c>
      <c r="K85" s="59" t="inlineStr">
        <is>
          <t>추정</t>
        </is>
      </c>
      <c r="L85" s="59" t="inlineStr">
        <is>
          <t>카테고리 기본</t>
        </is>
      </c>
      <c r="M85" s="59" t="inlineStr"/>
    </row>
    <row r="86">
      <c r="A86" s="59" t="inlineStr">
        <is>
          <t>ETC-004</t>
        </is>
      </c>
      <c r="B86" s="59" t="inlineStr">
        <is>
          <t>기타(ETC)</t>
        </is>
      </c>
      <c r="C86" s="59" t="inlineStr">
        <is>
          <t>카운터웨이트 4.5kg</t>
        </is>
      </c>
      <c r="D86" s="60" t="n">
        <v>0.24</v>
      </c>
      <c r="E86" s="60" t="n">
        <v>0.24</v>
      </c>
      <c r="F86" s="60" t="n">
        <v>0.06</v>
      </c>
      <c r="G86" s="60" t="inlineStr"/>
      <c r="H86" s="60" t="inlineStr"/>
      <c r="I86" s="60" t="inlineStr"/>
      <c r="J86" s="60" t="n">
        <v>0</v>
      </c>
      <c r="K86" s="59" t="inlineStr">
        <is>
          <t>추정</t>
        </is>
      </c>
      <c r="L86" s="59" t="inlineStr">
        <is>
          <t>자산 전용</t>
        </is>
      </c>
      <c r="M86" s="59" t="inlineStr"/>
    </row>
    <row r="87">
      <c r="A87" s="59" t="inlineStr">
        <is>
          <t>ETC-005</t>
        </is>
      </c>
      <c r="B87" s="59" t="inlineStr">
        <is>
          <t>기타(ETC)</t>
        </is>
      </c>
      <c r="C87" s="59" t="inlineStr">
        <is>
          <t>샌드백 7kg</t>
        </is>
      </c>
      <c r="D87" s="60" t="n">
        <v>0.36</v>
      </c>
      <c r="E87" s="60" t="n">
        <v>0.22</v>
      </c>
      <c r="F87" s="60" t="n">
        <v>0.14</v>
      </c>
      <c r="G87" s="60" t="inlineStr"/>
      <c r="H87" s="60" t="inlineStr"/>
      <c r="I87" s="60" t="inlineStr"/>
      <c r="J87" s="60" t="n">
        <v>0</v>
      </c>
      <c r="K87" s="59" t="inlineStr">
        <is>
          <t>추정</t>
        </is>
      </c>
      <c r="L87" s="59" t="inlineStr">
        <is>
          <t>자산 전용</t>
        </is>
      </c>
      <c r="M87" s="59" t="inlineStr"/>
    </row>
    <row r="88">
      <c r="A88" s="59" t="inlineStr">
        <is>
          <t>ETC-006</t>
        </is>
      </c>
      <c r="B88" s="59" t="inlineStr">
        <is>
          <t>기타(ETC)</t>
        </is>
      </c>
      <c r="C88" s="59" t="inlineStr">
        <is>
          <t>샌드백 7kg</t>
        </is>
      </c>
      <c r="D88" s="60" t="n">
        <v>0.45</v>
      </c>
      <c r="E88" s="60" t="n">
        <v>0.45</v>
      </c>
      <c r="F88" s="60" t="n">
        <v>0.4</v>
      </c>
      <c r="G88" s="60" t="inlineStr"/>
      <c r="H88" s="60" t="inlineStr"/>
      <c r="I88" s="60" t="inlineStr"/>
      <c r="J88" s="60" t="n">
        <v>0</v>
      </c>
      <c r="K88" s="59" t="inlineStr">
        <is>
          <t>추정</t>
        </is>
      </c>
      <c r="L88" s="59" t="inlineStr">
        <is>
          <t>카테고리 기본</t>
        </is>
      </c>
      <c r="M88" s="59" t="inlineStr"/>
    </row>
    <row r="89">
      <c r="A89" s="59" t="inlineStr">
        <is>
          <t>ETC-007</t>
        </is>
      </c>
      <c r="B89" s="59" t="inlineStr">
        <is>
          <t>기타(ETC)</t>
        </is>
      </c>
      <c r="C89" s="59" t="inlineStr">
        <is>
          <t>샌드백 7kg</t>
        </is>
      </c>
      <c r="D89" s="60" t="n">
        <v>0.45</v>
      </c>
      <c r="E89" s="60" t="n">
        <v>0.45</v>
      </c>
      <c r="F89" s="60" t="n">
        <v>0.4</v>
      </c>
      <c r="G89" s="60" t="inlineStr"/>
      <c r="H89" s="60" t="inlineStr"/>
      <c r="I89" s="60" t="inlineStr"/>
      <c r="J89" s="60" t="n">
        <v>0</v>
      </c>
      <c r="K89" s="59" t="inlineStr">
        <is>
          <t>추정</t>
        </is>
      </c>
      <c r="L89" s="59" t="inlineStr">
        <is>
          <t>카테고리 기본</t>
        </is>
      </c>
      <c r="M89" s="59" t="inlineStr"/>
    </row>
    <row r="90">
      <c r="A90" s="59" t="inlineStr">
        <is>
          <t>ETC-008</t>
        </is>
      </c>
      <c r="B90" s="59" t="inlineStr">
        <is>
          <t>기타(ETC)</t>
        </is>
      </c>
      <c r="C90" s="59" t="inlineStr">
        <is>
          <t>샌드백 7kg</t>
        </is>
      </c>
      <c r="D90" s="60" t="n">
        <v>0.45</v>
      </c>
      <c r="E90" s="60" t="n">
        <v>0.45</v>
      </c>
      <c r="F90" s="60" t="n">
        <v>0.4</v>
      </c>
      <c r="G90" s="60" t="inlineStr"/>
      <c r="H90" s="60" t="inlineStr"/>
      <c r="I90" s="60" t="inlineStr"/>
      <c r="J90" s="60" t="n">
        <v>0</v>
      </c>
      <c r="K90" s="59" t="inlineStr">
        <is>
          <t>추정</t>
        </is>
      </c>
      <c r="L90" s="59" t="inlineStr">
        <is>
          <t>카테고리 기본</t>
        </is>
      </c>
      <c r="M90" s="59" t="inlineStr"/>
    </row>
    <row r="91">
      <c r="A91" s="59" t="inlineStr">
        <is>
          <t>ETC-009</t>
        </is>
      </c>
      <c r="B91" s="59" t="inlineStr">
        <is>
          <t>기타(ETC)</t>
        </is>
      </c>
      <c r="C91" s="59" t="inlineStr">
        <is>
          <t>C-Stand-DW3</t>
        </is>
      </c>
      <c r="D91" s="60" t="n">
        <v>0.45</v>
      </c>
      <c r="E91" s="60" t="n">
        <v>0.45</v>
      </c>
      <c r="F91" s="60" t="n">
        <v>0.4</v>
      </c>
      <c r="G91" s="60" t="inlineStr"/>
      <c r="H91" s="60" t="inlineStr"/>
      <c r="I91" s="60" t="inlineStr"/>
      <c r="J91" s="60" t="n">
        <v>0</v>
      </c>
      <c r="K91" s="59" t="inlineStr">
        <is>
          <t>추정</t>
        </is>
      </c>
      <c r="L91" s="59" t="inlineStr">
        <is>
          <t>카테고리 기본</t>
        </is>
      </c>
      <c r="M91" s="59" t="inlineStr"/>
    </row>
    <row r="92">
      <c r="A92" s="59" t="inlineStr">
        <is>
          <t>ETC-010</t>
        </is>
      </c>
      <c r="B92" s="59" t="inlineStr">
        <is>
          <t>기타(ETC)</t>
        </is>
      </c>
      <c r="C92" s="59" t="inlineStr">
        <is>
          <t>A-Stand-PW-3</t>
        </is>
      </c>
      <c r="D92" s="60" t="n">
        <v>0.45</v>
      </c>
      <c r="E92" s="60" t="n">
        <v>0.45</v>
      </c>
      <c r="F92" s="60" t="n">
        <v>0.4</v>
      </c>
      <c r="G92" s="60" t="inlineStr"/>
      <c r="H92" s="60" t="inlineStr"/>
      <c r="I92" s="60" t="inlineStr"/>
      <c r="J92" s="60" t="n">
        <v>0</v>
      </c>
      <c r="K92" s="59" t="inlineStr">
        <is>
          <t>추정</t>
        </is>
      </c>
      <c r="L92" s="59" t="inlineStr">
        <is>
          <t>카테고리 기본</t>
        </is>
      </c>
      <c r="M92" s="59" t="inlineStr"/>
    </row>
    <row r="93">
      <c r="A93" s="59" t="inlineStr">
        <is>
          <t>ETC-011</t>
        </is>
      </c>
      <c r="B93" s="59" t="inlineStr">
        <is>
          <t>기타(ETC)</t>
        </is>
      </c>
      <c r="C93" s="59" t="inlineStr">
        <is>
          <t>Atem mini pro iso</t>
        </is>
      </c>
      <c r="D93" s="60" t="n">
        <v>0.3</v>
      </c>
      <c r="E93" s="60" t="n">
        <v>0.2</v>
      </c>
      <c r="F93" s="60" t="n">
        <v>0.06</v>
      </c>
      <c r="G93" s="60" t="inlineStr"/>
      <c r="H93" s="60" t="inlineStr"/>
      <c r="I93" s="60" t="inlineStr"/>
      <c r="J93" s="60" t="n">
        <v>0</v>
      </c>
      <c r="K93" s="59" t="inlineStr">
        <is>
          <t>추정</t>
        </is>
      </c>
      <c r="L93" s="59" t="inlineStr">
        <is>
          <t>자산 전용</t>
        </is>
      </c>
      <c r="M93" s="59" t="inlineStr"/>
    </row>
    <row r="94">
      <c r="A94" s="59" t="inlineStr">
        <is>
          <t>ACC-008</t>
        </is>
      </c>
      <c r="B94" s="59" t="inlineStr">
        <is>
          <t>액세서리(ACC)</t>
        </is>
      </c>
      <c r="C94" s="59" t="inlineStr">
        <is>
          <t>ND Filter 82mm Pro 1 - 5 Stop</t>
        </is>
      </c>
      <c r="D94" s="60" t="n">
        <v>0.25</v>
      </c>
      <c r="E94" s="60" t="n">
        <v>0.25</v>
      </c>
      <c r="F94" s="60" t="n">
        <v>0.15</v>
      </c>
      <c r="G94" s="60" t="inlineStr"/>
      <c r="H94" s="60" t="inlineStr"/>
      <c r="I94" s="60" t="inlineStr"/>
      <c r="J94" s="60" t="n">
        <v>0</v>
      </c>
      <c r="K94" s="59" t="inlineStr">
        <is>
          <t>추정</t>
        </is>
      </c>
      <c r="L94" s="59" t="inlineStr">
        <is>
          <t>카테고리 기본</t>
        </is>
      </c>
      <c r="M94" s="59" t="inlineStr"/>
    </row>
    <row r="95">
      <c r="A95" s="59" t="inlineStr">
        <is>
          <t>ACC-009</t>
        </is>
      </c>
      <c r="B95" s="59" t="inlineStr">
        <is>
          <t>액세서리(ACC)</t>
        </is>
      </c>
      <c r="C95" s="59" t="inlineStr">
        <is>
          <t>ND Filter 82mm ND2 - 400</t>
        </is>
      </c>
      <c r="D95" s="60" t="n">
        <v>0.25</v>
      </c>
      <c r="E95" s="60" t="n">
        <v>0.25</v>
      </c>
      <c r="F95" s="60" t="n">
        <v>0.15</v>
      </c>
      <c r="G95" s="60" t="inlineStr"/>
      <c r="H95" s="60" t="inlineStr"/>
      <c r="I95" s="60" t="inlineStr"/>
      <c r="J95" s="60" t="n">
        <v>0</v>
      </c>
      <c r="K95" s="59" t="inlineStr">
        <is>
          <t>추정</t>
        </is>
      </c>
      <c r="L95" s="59" t="inlineStr">
        <is>
          <t>카테고리 기본</t>
        </is>
      </c>
      <c r="M95" s="59" t="inlineStr"/>
    </row>
    <row r="96">
      <c r="A96" s="59" t="inlineStr">
        <is>
          <t>ACC-010</t>
        </is>
      </c>
      <c r="B96" s="59" t="inlineStr">
        <is>
          <t>액세서리(ACC)</t>
        </is>
      </c>
      <c r="C96" s="59" t="inlineStr">
        <is>
          <t>NANO-X Magnetic MRC Black Diffusion 1/8</t>
        </is>
      </c>
      <c r="D96" s="60" t="n">
        <v>0.25</v>
      </c>
      <c r="E96" s="60" t="n">
        <v>0.25</v>
      </c>
      <c r="F96" s="60" t="n">
        <v>0.15</v>
      </c>
      <c r="G96" s="60" t="inlineStr"/>
      <c r="H96" s="60" t="inlineStr"/>
      <c r="I96" s="60" t="inlineStr"/>
      <c r="J96" s="60" t="n">
        <v>0</v>
      </c>
      <c r="K96" s="59" t="inlineStr">
        <is>
          <t>추정</t>
        </is>
      </c>
      <c r="L96" s="59" t="inlineStr">
        <is>
          <t>카테고리 기본</t>
        </is>
      </c>
      <c r="M96" s="59" t="inlineStr"/>
    </row>
    <row r="97">
      <c r="A97" s="59" t="inlineStr">
        <is>
          <t>ACC-011</t>
        </is>
      </c>
      <c r="B97" s="59" t="inlineStr">
        <is>
          <t>액세서리(ACC)</t>
        </is>
      </c>
      <c r="C97" s="59" t="inlineStr">
        <is>
          <t>NANO-X Magnetic MRC Black Diffusion 1/4</t>
        </is>
      </c>
      <c r="D97" s="60" t="n">
        <v>0.25</v>
      </c>
      <c r="E97" s="60" t="n">
        <v>0.25</v>
      </c>
      <c r="F97" s="60" t="n">
        <v>0.15</v>
      </c>
      <c r="G97" s="60" t="inlineStr"/>
      <c r="H97" s="60" t="inlineStr"/>
      <c r="I97" s="60" t="inlineStr"/>
      <c r="J97" s="60" t="n">
        <v>0</v>
      </c>
      <c r="K97" s="59" t="inlineStr">
        <is>
          <t>추정</t>
        </is>
      </c>
      <c r="L97" s="59" t="inlineStr">
        <is>
          <t>카테고리 기본</t>
        </is>
      </c>
      <c r="M97" s="59" t="inlineStr"/>
    </row>
    <row r="98">
      <c r="A98" s="59" t="inlineStr">
        <is>
          <t>CAB-001</t>
        </is>
      </c>
      <c r="B98" s="59" t="inlineStr">
        <is>
          <t>케이블(CAB)</t>
        </is>
      </c>
      <c r="C98" s="59" t="inlineStr">
        <is>
          <t>하이브리드광 HDMI 2.0 [10m]</t>
        </is>
      </c>
      <c r="D98" s="60" t="n">
        <v>0.28</v>
      </c>
      <c r="E98" s="60" t="n">
        <v>0.28</v>
      </c>
      <c r="F98" s="60" t="n">
        <v>0.1</v>
      </c>
      <c r="G98" s="60" t="inlineStr"/>
      <c r="H98" s="60" t="inlineStr"/>
      <c r="I98" s="60" t="inlineStr"/>
      <c r="J98" s="60" t="n">
        <v>0</v>
      </c>
      <c r="K98" s="59" t="inlineStr">
        <is>
          <t>추정</t>
        </is>
      </c>
      <c r="L98" s="59" t="inlineStr">
        <is>
          <t>카테고리 기본</t>
        </is>
      </c>
      <c r="M98" s="59" t="inlineStr"/>
    </row>
    <row r="99">
      <c r="A99" s="59" t="inlineStr">
        <is>
          <t>CAB-002</t>
        </is>
      </c>
      <c r="B99" s="59" t="inlineStr">
        <is>
          <t>케이블(CAB)</t>
        </is>
      </c>
      <c r="C99" s="59" t="inlineStr">
        <is>
          <t>하이브리드광 HDMI 2.0 [10m]</t>
        </is>
      </c>
      <c r="D99" s="60" t="n">
        <v>0.28</v>
      </c>
      <c r="E99" s="60" t="n">
        <v>0.28</v>
      </c>
      <c r="F99" s="60" t="n">
        <v>0.1</v>
      </c>
      <c r="G99" s="60" t="inlineStr"/>
      <c r="H99" s="60" t="inlineStr"/>
      <c r="I99" s="60" t="inlineStr"/>
      <c r="J99" s="60" t="n">
        <v>0</v>
      </c>
      <c r="K99" s="59" t="inlineStr">
        <is>
          <t>추정</t>
        </is>
      </c>
      <c r="L99" s="59" t="inlineStr">
        <is>
          <t>카테고리 기본</t>
        </is>
      </c>
      <c r="M99" s="59" t="inlineStr"/>
    </row>
    <row r="100">
      <c r="A100" s="59" t="inlineStr">
        <is>
          <t>CAB-003</t>
        </is>
      </c>
      <c r="B100" s="59" t="inlineStr">
        <is>
          <t>케이블(CAB)</t>
        </is>
      </c>
      <c r="C100" s="59" t="inlineStr">
        <is>
          <t>하이브리드광 HDMI 2.0 [10m]</t>
        </is>
      </c>
      <c r="D100" s="60" t="n">
        <v>0.28</v>
      </c>
      <c r="E100" s="60" t="n">
        <v>0.28</v>
      </c>
      <c r="F100" s="60" t="n">
        <v>0.1</v>
      </c>
      <c r="G100" s="60" t="inlineStr"/>
      <c r="H100" s="60" t="inlineStr"/>
      <c r="I100" s="60" t="inlineStr"/>
      <c r="J100" s="60" t="n">
        <v>0</v>
      </c>
      <c r="K100" s="59" t="inlineStr">
        <is>
          <t>추정</t>
        </is>
      </c>
      <c r="L100" s="59" t="inlineStr">
        <is>
          <t>카테고리 기본</t>
        </is>
      </c>
      <c r="M100" s="59" t="inlineStr"/>
    </row>
    <row r="101">
      <c r="A101" s="59" t="inlineStr">
        <is>
          <t>PWR-004</t>
        </is>
      </c>
      <c r="B101" s="59" t="inlineStr">
        <is>
          <t>충전기/전원(PWR)</t>
        </is>
      </c>
      <c r="C101" s="59" t="inlineStr">
        <is>
          <t>BH-FZ260-V</t>
        </is>
      </c>
      <c r="D101" s="60" t="n">
        <v>0.3</v>
      </c>
      <c r="E101" s="60" t="n">
        <v>0.3</v>
      </c>
      <c r="F101" s="60" t="n">
        <v>0.18</v>
      </c>
      <c r="G101" s="60" t="inlineStr"/>
      <c r="H101" s="60" t="inlineStr"/>
      <c r="I101" s="60" t="inlineStr"/>
      <c r="J101" s="60" t="n">
        <v>0</v>
      </c>
      <c r="K101" s="59" t="inlineStr">
        <is>
          <t>추정</t>
        </is>
      </c>
      <c r="L101" s="59" t="inlineStr">
        <is>
          <t>카테고리 기본</t>
        </is>
      </c>
      <c r="M101" s="59" t="inlineStr"/>
    </row>
    <row r="102">
      <c r="A102" s="59" t="inlineStr">
        <is>
          <t>PWR-005</t>
        </is>
      </c>
      <c r="B102" s="59" t="inlineStr">
        <is>
          <t>충전기/전원(PWR)</t>
        </is>
      </c>
      <c r="C102" s="59" t="inlineStr">
        <is>
          <t>BT-BG-V</t>
        </is>
      </c>
      <c r="D102" s="60" t="n">
        <v>0.3</v>
      </c>
      <c r="E102" s="60" t="n">
        <v>0.3</v>
      </c>
      <c r="F102" s="60" t="n">
        <v>0.18</v>
      </c>
      <c r="G102" s="60" t="inlineStr"/>
      <c r="H102" s="60" t="inlineStr"/>
      <c r="I102" s="60" t="inlineStr"/>
      <c r="J102" s="60" t="n">
        <v>0</v>
      </c>
      <c r="K102" s="59" t="inlineStr">
        <is>
          <t>추정</t>
        </is>
      </c>
      <c r="L102" s="59" t="inlineStr">
        <is>
          <t>카테고리 기본</t>
        </is>
      </c>
      <c r="M102" s="59" t="inlineStr"/>
    </row>
    <row r="103">
      <c r="A103" s="59" t="inlineStr">
        <is>
          <t>AUD-009</t>
        </is>
      </c>
      <c r="B103" s="59" t="inlineStr">
        <is>
          <t>마이크/오디오(AUD)</t>
        </is>
      </c>
      <c r="C103" s="59" t="inlineStr">
        <is>
          <t>붐대</t>
        </is>
      </c>
      <c r="D103" s="60" t="n">
        <v>0.08</v>
      </c>
      <c r="E103" s="60" t="n">
        <v>0.25</v>
      </c>
      <c r="F103" s="60" t="n">
        <v>0.08</v>
      </c>
      <c r="G103" s="60" t="inlineStr"/>
      <c r="H103" s="60" t="inlineStr"/>
      <c r="I103" s="60" t="inlineStr"/>
      <c r="J103" s="60" t="n">
        <v>0</v>
      </c>
      <c r="K103" s="59" t="inlineStr">
        <is>
          <t>추정</t>
        </is>
      </c>
      <c r="L103" s="59" t="inlineStr">
        <is>
          <t>카테고리 기본</t>
        </is>
      </c>
      <c r="M103" s="59" t="inlineStr"/>
    </row>
    <row r="104">
      <c r="A104" s="59" t="inlineStr">
        <is>
          <t>AUD-010</t>
        </is>
      </c>
      <c r="B104" s="59" t="inlineStr">
        <is>
          <t>마이크/오디오(AUD)</t>
        </is>
      </c>
      <c r="C104" s="59" t="inlineStr">
        <is>
          <t>마이크 스탠드 거치대</t>
        </is>
      </c>
      <c r="D104" s="60" t="n">
        <v>0.08</v>
      </c>
      <c r="E104" s="60" t="n">
        <v>0.25</v>
      </c>
      <c r="F104" s="60" t="n">
        <v>0.08</v>
      </c>
      <c r="G104" s="60" t="inlineStr"/>
      <c r="H104" s="60" t="inlineStr"/>
      <c r="I104" s="60" t="inlineStr"/>
      <c r="J104" s="60" t="n">
        <v>0</v>
      </c>
      <c r="K104" s="59" t="inlineStr">
        <is>
          <t>추정</t>
        </is>
      </c>
      <c r="L104" s="59" t="inlineStr">
        <is>
          <t>카테고리 기본</t>
        </is>
      </c>
      <c r="M104" s="59" t="inlineStr"/>
    </row>
    <row r="105">
      <c r="A105" s="59" t="inlineStr">
        <is>
          <t>ACC-012</t>
        </is>
      </c>
      <c r="B105" s="59" t="inlineStr">
        <is>
          <t>액세서리(ACC)</t>
        </is>
      </c>
      <c r="C105" s="59" t="inlineStr">
        <is>
          <t>A 클램프 9인치</t>
        </is>
      </c>
      <c r="D105" s="60" t="n">
        <v>0.25</v>
      </c>
      <c r="E105" s="60" t="n">
        <v>0.25</v>
      </c>
      <c r="F105" s="60" t="n">
        <v>0.15</v>
      </c>
      <c r="G105" s="60" t="inlineStr"/>
      <c r="H105" s="60" t="inlineStr"/>
      <c r="I105" s="60" t="inlineStr"/>
      <c r="J105" s="60" t="n">
        <v>0</v>
      </c>
      <c r="K105" s="59" t="inlineStr">
        <is>
          <t>추정</t>
        </is>
      </c>
      <c r="L105" s="59" t="inlineStr">
        <is>
          <t>카테고리 기본</t>
        </is>
      </c>
      <c r="M105" s="59" t="inlineStr"/>
    </row>
    <row r="106">
      <c r="A106" s="59" t="inlineStr">
        <is>
          <t>ACC-013</t>
        </is>
      </c>
      <c r="B106" s="59" t="inlineStr">
        <is>
          <t>액세서리(ACC)</t>
        </is>
      </c>
      <c r="C106" s="59" t="inlineStr">
        <is>
          <t>A 클램프 6인치</t>
        </is>
      </c>
      <c r="D106" s="60" t="n">
        <v>0.25</v>
      </c>
      <c r="E106" s="60" t="n">
        <v>0.25</v>
      </c>
      <c r="F106" s="60" t="n">
        <v>0.15</v>
      </c>
      <c r="G106" s="60" t="inlineStr"/>
      <c r="H106" s="60" t="inlineStr"/>
      <c r="I106" s="60" t="inlineStr"/>
      <c r="J106" s="60" t="n">
        <v>0</v>
      </c>
      <c r="K106" s="59" t="inlineStr">
        <is>
          <t>추정</t>
        </is>
      </c>
      <c r="L106" s="59" t="inlineStr">
        <is>
          <t>카테고리 기본</t>
        </is>
      </c>
      <c r="M106" s="59" t="inlineStr"/>
    </row>
    <row r="107">
      <c r="A107" s="59" t="inlineStr">
        <is>
          <t>ACC-014</t>
        </is>
      </c>
      <c r="B107" s="59" t="inlineStr">
        <is>
          <t>액세서리(ACC)</t>
        </is>
      </c>
      <c r="C107" s="59" t="inlineStr">
        <is>
          <t>A 클램프 6인치</t>
        </is>
      </c>
      <c r="D107" s="60" t="n">
        <v>0.25</v>
      </c>
      <c r="E107" s="60" t="n">
        <v>0.25</v>
      </c>
      <c r="F107" s="60" t="n">
        <v>0.15</v>
      </c>
      <c r="G107" s="60" t="inlineStr"/>
      <c r="H107" s="60" t="inlineStr"/>
      <c r="I107" s="60" t="inlineStr"/>
      <c r="J107" s="60" t="n">
        <v>0</v>
      </c>
      <c r="K107" s="59" t="inlineStr">
        <is>
          <t>추정</t>
        </is>
      </c>
      <c r="L107" s="59" t="inlineStr">
        <is>
          <t>카테고리 기본</t>
        </is>
      </c>
      <c r="M107" s="59" t="inlineStr"/>
    </row>
    <row r="108">
      <c r="A108" s="59" t="inlineStr">
        <is>
          <t>ACC-015</t>
        </is>
      </c>
      <c r="B108" s="59" t="inlineStr">
        <is>
          <t>액세서리(ACC)</t>
        </is>
      </c>
      <c r="C108" s="59" t="inlineStr">
        <is>
          <t>크로마키</t>
        </is>
      </c>
      <c r="D108" s="60" t="n">
        <v>3</v>
      </c>
      <c r="E108" s="60" t="n">
        <v>0.02</v>
      </c>
      <c r="F108" s="60" t="n">
        <v>2.4</v>
      </c>
      <c r="G108" s="60" t="inlineStr"/>
      <c r="H108" s="60" t="inlineStr"/>
      <c r="I108" s="60" t="inlineStr"/>
      <c r="J108" s="60" t="n">
        <v>0</v>
      </c>
      <c r="K108" s="59" t="inlineStr">
        <is>
          <t>추정</t>
        </is>
      </c>
      <c r="L108" s="59" t="inlineStr">
        <is>
          <t>자산 전용</t>
        </is>
      </c>
      <c r="M108" s="59" t="inlineStr"/>
    </row>
    <row r="109">
      <c r="A109" s="59" t="inlineStr">
        <is>
          <t>CAB-004</t>
        </is>
      </c>
      <c r="B109" s="59" t="inlineStr">
        <is>
          <t>케이블(CAB)</t>
        </is>
      </c>
      <c r="C109" s="59" t="inlineStr">
        <is>
          <t>NIVE AUDIO NA-009 MARK 2 MICROPHONE CABLE [3m]</t>
        </is>
      </c>
      <c r="D109" s="60" t="n">
        <v>0.28</v>
      </c>
      <c r="E109" s="60" t="n">
        <v>0.28</v>
      </c>
      <c r="F109" s="60" t="n">
        <v>0.1</v>
      </c>
      <c r="G109" s="60" t="inlineStr"/>
      <c r="H109" s="60" t="inlineStr"/>
      <c r="I109" s="60" t="inlineStr"/>
      <c r="J109" s="60" t="n">
        <v>0</v>
      </c>
      <c r="K109" s="59" t="inlineStr">
        <is>
          <t>추정</t>
        </is>
      </c>
      <c r="L109" s="59" t="inlineStr">
        <is>
          <t>카테고리 기본</t>
        </is>
      </c>
      <c r="M109" s="59" t="inlineStr"/>
    </row>
    <row r="110">
      <c r="A110" s="59" t="inlineStr">
        <is>
          <t>CAB-005</t>
        </is>
      </c>
      <c r="B110" s="59" t="inlineStr">
        <is>
          <t>케이블(CAB)</t>
        </is>
      </c>
      <c r="C110" s="59" t="inlineStr">
        <is>
          <t>SG ELECTRONICS MICROPHONE CABLE [5m]</t>
        </is>
      </c>
      <c r="D110" s="60" t="n">
        <v>0.28</v>
      </c>
      <c r="E110" s="60" t="n">
        <v>0.28</v>
      </c>
      <c r="F110" s="60" t="n">
        <v>0.1</v>
      </c>
      <c r="G110" s="60" t="inlineStr"/>
      <c r="H110" s="60" t="inlineStr"/>
      <c r="I110" s="60" t="inlineStr"/>
      <c r="J110" s="60" t="n">
        <v>0</v>
      </c>
      <c r="K110" s="59" t="inlineStr">
        <is>
          <t>추정</t>
        </is>
      </c>
      <c r="L110" s="59" t="inlineStr">
        <is>
          <t>카테고리 기본</t>
        </is>
      </c>
      <c r="M110" s="59" t="inlineStr"/>
    </row>
    <row r="111">
      <c r="A111" s="59" t="inlineStr">
        <is>
          <t>AUD-011</t>
        </is>
      </c>
      <c r="B111" s="59" t="inlineStr">
        <is>
          <t>마이크/오디오(AUD)</t>
        </is>
      </c>
      <c r="C111" s="59" t="inlineStr">
        <is>
          <t>폴대 지지대</t>
        </is>
      </c>
      <c r="D111" s="60" t="n">
        <v>0.08</v>
      </c>
      <c r="E111" s="60" t="n">
        <v>0.25</v>
      </c>
      <c r="F111" s="60" t="n">
        <v>0.08</v>
      </c>
      <c r="G111" s="60" t="inlineStr"/>
      <c r="H111" s="60" t="inlineStr"/>
      <c r="I111" s="60" t="inlineStr"/>
      <c r="J111" s="60" t="n">
        <v>0</v>
      </c>
      <c r="K111" s="59" t="inlineStr">
        <is>
          <t>추정</t>
        </is>
      </c>
      <c r="L111" s="59" t="inlineStr">
        <is>
          <t>카테고리 기본</t>
        </is>
      </c>
      <c r="M111" s="59" t="inlineStr"/>
    </row>
    <row r="112">
      <c r="A112" s="59" t="inlineStr">
        <is>
          <t>AUD-012</t>
        </is>
      </c>
      <c r="B112" s="59" t="inlineStr">
        <is>
          <t>마이크/오디오(AUD)</t>
        </is>
      </c>
      <c r="C112" s="59" t="inlineStr">
        <is>
          <t>Boompole Pro</t>
        </is>
      </c>
      <c r="D112" s="60" t="n">
        <v>0.08</v>
      </c>
      <c r="E112" s="60" t="n">
        <v>0.25</v>
      </c>
      <c r="F112" s="60" t="n">
        <v>0.08</v>
      </c>
      <c r="G112" s="60" t="inlineStr"/>
      <c r="H112" s="60" t="inlineStr"/>
      <c r="I112" s="60" t="inlineStr"/>
      <c r="J112" s="60" t="n">
        <v>0</v>
      </c>
      <c r="K112" s="59" t="inlineStr">
        <is>
          <t>추정</t>
        </is>
      </c>
      <c r="L112" s="59" t="inlineStr">
        <is>
          <t>카테고리 기본</t>
        </is>
      </c>
      <c r="M112" s="59" t="inlineStr"/>
    </row>
    <row r="114">
      <c r="A114" s="63" t="inlineStr">
        <is>
          <t>※ 초록 = 제조사 공식 치수 / 노랑 = 업계 평균값 / 무색 = 표준 추정값</t>
        </is>
      </c>
    </row>
    <row r="115">
      <c r="A115" s="64" t="inlineStr">
        <is>
          <t>※ 최소·최대 높이는 스탠드·삼각대에만 적용되며, 3D에서 이 범위를 벗어나지 않도록 제한됩니다.</t>
        </is>
      </c>
    </row>
    <row r="116">
      <c r="A116" s="64" t="inlineStr">
        <is>
          <t>※ 실측 후 이 표를 수정하면 알려주세요 — 3D 시뮬레이션에 바로 반영합니다.</t>
        </is>
      </c>
    </row>
  </sheetData>
  <autoFilter ref="A1:M112"/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0" customWidth="1" style="34" min="1" max="1"/>
    <col width="22" customWidth="1" style="34" min="2" max="2"/>
    <col width="44" customWidth="1" style="34" min="3" max="3"/>
    <col width="36" customWidth="1" style="34" min="4" max="4"/>
    <col width="8.68" customWidth="1" style="34" min="5" max="16384"/>
  </cols>
  <sheetData>
    <row r="1" ht="30" customHeight="1" s="35">
      <c r="A1" s="65" t="inlineStr">
        <is>
          <t>코드</t>
        </is>
      </c>
      <c r="B1" s="65" t="inlineStr">
        <is>
          <t>카테고리</t>
        </is>
      </c>
      <c r="C1" s="65" t="inlineStr">
        <is>
          <t>설명/예시</t>
        </is>
      </c>
      <c r="D1" s="65" t="inlineStr">
        <is>
          <t>세부분류 예시</t>
        </is>
      </c>
      <c r="E1" s="66" t="n"/>
    </row>
    <row r="2" ht="15" customHeight="1" s="35">
      <c r="A2" s="42" t="inlineStr">
        <is>
          <t>CAM</t>
        </is>
      </c>
      <c r="B2" s="45" t="inlineStr">
        <is>
          <t>카메라 본체</t>
        </is>
      </c>
      <c r="C2" s="42" t="inlineStr">
        <is>
          <t>DSLR/미러리스/시네마/액션캠</t>
        </is>
      </c>
      <c r="D2" s="45" t="inlineStr">
        <is>
          <t>미러리스, DSLR, 시네마, 액션</t>
        </is>
      </c>
      <c r="E2" s="66" t="n"/>
    </row>
    <row r="3" ht="15" customHeight="1" s="35">
      <c r="A3" s="42" t="inlineStr">
        <is>
          <t>LEN</t>
        </is>
      </c>
      <c r="B3" s="45" t="inlineStr">
        <is>
          <t>렌즈</t>
        </is>
      </c>
      <c r="C3" s="45" t="inlineStr">
        <is>
          <t>줌/단렌즈/시네/광각/망원</t>
        </is>
      </c>
      <c r="D3" s="45" t="inlineStr">
        <is>
          <t>줌렌즈, 단렌즈, 시네렌즈</t>
        </is>
      </c>
      <c r="E3" s="66" t="n"/>
    </row>
    <row r="4" ht="15" customHeight="1" s="35">
      <c r="A4" s="42" t="inlineStr">
        <is>
          <t>LIT</t>
        </is>
      </c>
      <c r="B4" s="45" t="inlineStr">
        <is>
          <t>조명</t>
        </is>
      </c>
      <c r="C4" s="42" t="inlineStr">
        <is>
          <t>LED/플래시/형광/텅스텐</t>
        </is>
      </c>
      <c r="D4" s="42" t="inlineStr">
        <is>
          <t>LED, LED 튜브, RGB, 비디오 라이트</t>
        </is>
      </c>
      <c r="E4" s="66" t="n"/>
    </row>
    <row r="5" ht="15" customHeight="1" s="35">
      <c r="A5" s="42" t="inlineStr">
        <is>
          <t>MOD</t>
        </is>
      </c>
      <c r="B5" s="45" t="inlineStr">
        <is>
          <t>조명 모디파이어</t>
        </is>
      </c>
      <c r="C5" s="45" t="inlineStr">
        <is>
          <t>소프트박스/디퓨저/리플렉터/그리드</t>
        </is>
      </c>
      <c r="D5" s="45" t="inlineStr">
        <is>
          <t>소프트박스, 디퓨저, 리플렉터</t>
        </is>
      </c>
      <c r="E5" s="66" t="n"/>
    </row>
    <row r="6" ht="15" customHeight="1" s="35">
      <c r="A6" s="42" t="inlineStr">
        <is>
          <t>STD</t>
        </is>
      </c>
      <c r="B6" s="45" t="inlineStr">
        <is>
          <t>스탠드</t>
        </is>
      </c>
      <c r="C6" s="45" t="inlineStr">
        <is>
          <t>라이트 스탠드/C-스탠드/붐 (2단계: A/AS/C/T)</t>
        </is>
      </c>
      <c r="D6" s="42" t="inlineStr">
        <is>
          <t>STD-A, STD-AS, STD-C, STD-T</t>
        </is>
      </c>
      <c r="E6" s="66" t="n"/>
    </row>
    <row r="7" ht="15" customHeight="1" s="35">
      <c r="A7" s="42" t="inlineStr">
        <is>
          <t>TRP</t>
        </is>
      </c>
      <c r="B7" s="45" t="inlineStr">
        <is>
          <t>삼각대</t>
        </is>
      </c>
      <c r="C7" s="45" t="inlineStr">
        <is>
          <t>비디오/사진/트래블/모노포드</t>
        </is>
      </c>
      <c r="D7" s="45" t="inlineStr">
        <is>
          <t>비디오 삼각대, 사진 삼각대</t>
        </is>
      </c>
      <c r="E7" s="66" t="n"/>
    </row>
    <row r="8" ht="15" customHeight="1" s="35">
      <c r="A8" s="42" t="inlineStr">
        <is>
          <t>GIM</t>
        </is>
      </c>
      <c r="B8" s="45" t="inlineStr">
        <is>
          <t>짐벌</t>
        </is>
      </c>
      <c r="C8" s="45" t="inlineStr">
        <is>
          <t>핸드헬드/카메라용 스태빌라이저</t>
        </is>
      </c>
      <c r="D8" s="45" t="inlineStr">
        <is>
          <t>핸드헬드 짐벌, 스마트폰 짐벌</t>
        </is>
      </c>
      <c r="E8" s="66" t="n"/>
    </row>
    <row r="9" ht="15" customHeight="1" s="35">
      <c r="A9" s="42" t="inlineStr">
        <is>
          <t>RIG</t>
        </is>
      </c>
      <c r="B9" s="45" t="inlineStr">
        <is>
          <t>리그/그립</t>
        </is>
      </c>
      <c r="C9" s="45" t="inlineStr">
        <is>
          <t>숄더리그/케이지/팔로우포커스</t>
        </is>
      </c>
      <c r="D9" s="45" t="inlineStr">
        <is>
          <t>숄더리그, 케이지, 매트박스</t>
        </is>
      </c>
      <c r="E9" s="66" t="n"/>
    </row>
    <row r="10" ht="15" customHeight="1" s="35">
      <c r="A10" s="42" t="inlineStr">
        <is>
          <t>AUD</t>
        </is>
      </c>
      <c r="B10" s="45" t="inlineStr">
        <is>
          <t>마이크/오디오</t>
        </is>
      </c>
      <c r="C10" s="45" t="inlineStr">
        <is>
          <t>샷건/라발리에/핸드헬드/콘덴서</t>
        </is>
      </c>
      <c r="D10" s="45" t="inlineStr">
        <is>
          <t>샷건, 라발리에, 핸드헬드</t>
        </is>
      </c>
      <c r="E10" s="66" t="n"/>
    </row>
    <row r="11" ht="15" customHeight="1" s="35">
      <c r="A11" s="42" t="inlineStr">
        <is>
          <t>REC</t>
        </is>
      </c>
      <c r="B11" s="45" t="inlineStr">
        <is>
          <t>녹음기</t>
        </is>
      </c>
      <c r="C11" s="45" t="inlineStr">
        <is>
          <t>필드 레코더/믹서</t>
        </is>
      </c>
      <c r="D11" s="45" t="inlineStr">
        <is>
          <t>필드 레코더, 디지털 믹서</t>
        </is>
      </c>
      <c r="E11" s="66" t="n"/>
    </row>
    <row r="12" ht="15" customHeight="1" s="35">
      <c r="A12" s="42" t="inlineStr">
        <is>
          <t>MON</t>
        </is>
      </c>
      <c r="B12" s="45" t="inlineStr">
        <is>
          <t>외장 모니터</t>
        </is>
      </c>
      <c r="C12" s="45" t="inlineStr">
        <is>
          <t>온카메라/디렉터/HDMI 분배</t>
        </is>
      </c>
      <c r="D12" s="45" t="inlineStr">
        <is>
          <t>온카메라 모니터, 디렉터 모니터</t>
        </is>
      </c>
      <c r="E12" s="66" t="n"/>
    </row>
    <row r="13" ht="15" customHeight="1" s="35">
      <c r="A13" s="42" t="inlineStr">
        <is>
          <t>BAT</t>
        </is>
      </c>
      <c r="B13" s="45" t="inlineStr">
        <is>
          <t>배터리</t>
        </is>
      </c>
      <c r="C13" s="42" t="inlineStr">
        <is>
          <t>V마운트/카메라/마이크 (2단계: FZ/V/F)</t>
        </is>
      </c>
      <c r="D13" s="42" t="inlineStr">
        <is>
          <t>BAT-FZ, BAT-V, BAT-F</t>
        </is>
      </c>
      <c r="E13" s="66" t="n"/>
    </row>
    <row r="14" ht="15" customHeight="1" s="35">
      <c r="A14" s="42" t="inlineStr">
        <is>
          <t>PWR</t>
        </is>
      </c>
      <c r="B14" s="45" t="inlineStr">
        <is>
          <t>충전기/전원</t>
        </is>
      </c>
      <c r="C14" s="45" t="inlineStr">
        <is>
          <t>충전기/어댑터/인버터</t>
        </is>
      </c>
      <c r="D14" s="45" t="inlineStr">
        <is>
          <t>충전기, 어댑터, 인버터</t>
        </is>
      </c>
      <c r="E14" s="66" t="n"/>
    </row>
    <row r="15" ht="15" customHeight="1" s="35">
      <c r="A15" s="42" t="inlineStr">
        <is>
          <t>STO</t>
        </is>
      </c>
      <c r="B15" s="45" t="inlineStr">
        <is>
          <t>저장매체</t>
        </is>
      </c>
      <c r="C15" s="42" t="inlineStr">
        <is>
          <t>SD/CFexpress/SSD/HDD</t>
        </is>
      </c>
      <c r="D15" s="42" t="inlineStr">
        <is>
          <t>SD카드, CFexpress, SSD</t>
        </is>
      </c>
      <c r="E15" s="66" t="n"/>
    </row>
    <row r="16" ht="15" customHeight="1" s="35">
      <c r="A16" s="42" t="inlineStr">
        <is>
          <t>CAB</t>
        </is>
      </c>
      <c r="B16" s="45" t="inlineStr">
        <is>
          <t>케이블</t>
        </is>
      </c>
      <c r="C16" s="42" t="inlineStr">
        <is>
          <t>HDMI/SDI/XLR/USB</t>
        </is>
      </c>
      <c r="D16" s="42" t="inlineStr">
        <is>
          <t>HDMI, SDI, XLR, USB-C</t>
        </is>
      </c>
      <c r="E16" s="66" t="n"/>
    </row>
    <row r="17" ht="15" customHeight="1" s="35">
      <c r="A17" s="42" t="inlineStr">
        <is>
          <t>ACC</t>
        </is>
      </c>
      <c r="B17" s="45" t="inlineStr">
        <is>
          <t>액세서리</t>
        </is>
      </c>
      <c r="C17" s="45" t="inlineStr">
        <is>
          <t>필터/배경지/클램프/마운트</t>
        </is>
      </c>
      <c r="D17" s="42" t="inlineStr">
        <is>
          <t>ND필터, 배경지, 클램프</t>
        </is>
      </c>
      <c r="E17" s="66" t="n"/>
    </row>
    <row r="18" ht="15" customHeight="1" s="35">
      <c r="A18" s="42" t="inlineStr">
        <is>
          <t>CAS</t>
        </is>
      </c>
      <c r="B18" s="45" t="inlineStr">
        <is>
          <t>케이스/가방</t>
        </is>
      </c>
      <c r="C18" s="45" t="inlineStr">
        <is>
          <t>하드케이스/캐리어/슈팅백</t>
        </is>
      </c>
      <c r="D18" s="45" t="inlineStr">
        <is>
          <t>하드케이스, 캐리어</t>
        </is>
      </c>
      <c r="E18" s="66" t="n"/>
    </row>
    <row r="19" ht="15" customHeight="1" s="35">
      <c r="A19" s="67" t="inlineStr">
        <is>
          <t>ETC</t>
        </is>
      </c>
      <c r="B19" s="68" t="inlineStr">
        <is>
          <t>기타</t>
        </is>
      </c>
      <c r="C19" s="68" t="inlineStr">
        <is>
          <t>카트/왜건/무게추/스위처 등 미분류 장비</t>
        </is>
      </c>
      <c r="D19" s="68" t="inlineStr">
        <is>
          <t>카트, 샌드백, 스탠드 바퀴, 스위처</t>
        </is>
      </c>
    </row>
  </sheetData>
  <printOptions horizontalCentered="0" verticalCentered="0" headings="0" gridLines="0" gridLinesSet="1"/>
  <pageMargins left="0.75" right="0.75" top="1" bottom="1" header="0.511811023622047" footer="0.511805555555556"/>
  <pageSetup orientation="portrait" paperSize="1" scale="100" fitToHeight="1" fitToWidth="1" pageOrder="downThenOver" blackAndWhite="0" draft="0" horizontalDpi="300" verticalDpi="300" copies="1"/>
  <headerFooter differentOddEven="0" differentFirst="0">
    <oddHeader/>
    <oddFooter>&amp;C&amp;"Helvetica Neue,Regular"&amp;12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2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2" customWidth="1" style="34" min="1" max="1"/>
    <col width="14" customWidth="1" style="34" min="2" max="2"/>
    <col width="10" customWidth="1" style="34" min="3" max="3"/>
    <col width="14" customWidth="1" style="34" min="4" max="4"/>
    <col width="36" customWidth="1" style="34" min="5" max="5"/>
    <col width="14" customWidth="1" style="34" min="6" max="6"/>
    <col width="16" customWidth="1" style="34" min="7" max="7"/>
    <col width="14" customWidth="1" style="34" min="8" max="8"/>
    <col width="28" customWidth="1" style="34" min="9" max="9"/>
    <col width="8.68" customWidth="1" style="34" min="10" max="16384"/>
  </cols>
  <sheetData>
    <row r="1" ht="30" customHeight="1" s="35">
      <c r="A1" s="65" t="inlineStr">
        <is>
          <t>점검일</t>
        </is>
      </c>
      <c r="B1" s="65" t="inlineStr">
        <is>
          <t>자산번호</t>
        </is>
      </c>
      <c r="C1" s="65" t="inlineStr">
        <is>
          <t>점검자</t>
        </is>
      </c>
      <c r="D1" s="65" t="inlineStr">
        <is>
          <t>점검 유형</t>
        </is>
      </c>
      <c r="E1" s="65" t="inlineStr">
        <is>
          <t>점검 내용</t>
        </is>
      </c>
      <c r="F1" s="65" t="inlineStr">
        <is>
          <t>이상 유무</t>
        </is>
      </c>
      <c r="G1" s="65" t="inlineStr">
        <is>
          <t>조치/비용(원)</t>
        </is>
      </c>
      <c r="H1" s="65" t="inlineStr">
        <is>
          <t>다음 점검 예정일</t>
        </is>
      </c>
      <c r="I1" s="65" t="inlineStr">
        <is>
          <t>비고</t>
        </is>
      </c>
    </row>
    <row r="2" ht="13.5" customHeight="1" s="35">
      <c r="A2" s="69" t="n"/>
      <c r="B2" s="48" t="n"/>
      <c r="C2" s="48" t="n"/>
      <c r="D2" s="48" t="n"/>
      <c r="E2" s="48" t="n"/>
      <c r="F2" s="48" t="n"/>
      <c r="G2" s="70" t="n"/>
      <c r="H2" s="69" t="n"/>
      <c r="I2" s="48" t="n"/>
    </row>
    <row r="3" ht="13.5" customHeight="1" s="35">
      <c r="A3" s="69" t="n"/>
      <c r="B3" s="48" t="n"/>
      <c r="C3" s="48" t="n"/>
      <c r="D3" s="48" t="n"/>
      <c r="E3" s="48" t="n"/>
      <c r="F3" s="48" t="n"/>
      <c r="G3" s="70" t="n"/>
      <c r="H3" s="69" t="n"/>
      <c r="I3" s="48" t="n"/>
    </row>
    <row r="4" ht="13.5" customHeight="1" s="35">
      <c r="A4" s="69" t="n"/>
      <c r="B4" s="48" t="n"/>
      <c r="C4" s="48" t="n"/>
      <c r="D4" s="48" t="n"/>
      <c r="E4" s="48" t="n"/>
      <c r="F4" s="48" t="n"/>
      <c r="G4" s="70" t="n"/>
      <c r="H4" s="69" t="n"/>
      <c r="I4" s="48" t="n"/>
    </row>
    <row r="5" ht="13.5" customHeight="1" s="35">
      <c r="A5" s="69" t="n"/>
      <c r="B5" s="48" t="n"/>
      <c r="C5" s="48" t="n"/>
      <c r="D5" s="48" t="n"/>
      <c r="E5" s="48" t="n"/>
      <c r="F5" s="48" t="n"/>
      <c r="G5" s="70" t="n"/>
      <c r="H5" s="69" t="n"/>
      <c r="I5" s="48" t="n"/>
    </row>
    <row r="6" ht="13.5" customHeight="1" s="35">
      <c r="A6" s="69" t="n"/>
      <c r="B6" s="48" t="n"/>
      <c r="C6" s="48" t="n"/>
      <c r="D6" s="48" t="n"/>
      <c r="E6" s="48" t="n"/>
      <c r="F6" s="48" t="n"/>
      <c r="G6" s="70" t="n"/>
      <c r="H6" s="69" t="n"/>
      <c r="I6" s="48" t="n"/>
    </row>
    <row r="7" ht="13.5" customHeight="1" s="35">
      <c r="A7" s="69" t="n"/>
      <c r="B7" s="48" t="n"/>
      <c r="C7" s="48" t="n"/>
      <c r="D7" s="48" t="n"/>
      <c r="E7" s="48" t="n"/>
      <c r="F7" s="48" t="n"/>
      <c r="G7" s="70" t="n"/>
      <c r="H7" s="69" t="n"/>
      <c r="I7" s="48" t="n"/>
    </row>
    <row r="8" ht="13.5" customHeight="1" s="35">
      <c r="A8" s="69" t="n"/>
      <c r="B8" s="48" t="n"/>
      <c r="C8" s="48" t="n"/>
      <c r="D8" s="48" t="n"/>
      <c r="E8" s="48" t="n"/>
      <c r="F8" s="48" t="n"/>
      <c r="G8" s="70" t="n"/>
      <c r="H8" s="69" t="n"/>
      <c r="I8" s="48" t="n"/>
    </row>
    <row r="9" ht="13.5" customHeight="1" s="35">
      <c r="A9" s="69" t="n"/>
      <c r="B9" s="48" t="n"/>
      <c r="C9" s="48" t="n"/>
      <c r="D9" s="48" t="n"/>
      <c r="E9" s="48" t="n"/>
      <c r="F9" s="48" t="n"/>
      <c r="G9" s="70" t="n"/>
      <c r="H9" s="69" t="n"/>
      <c r="I9" s="48" t="n"/>
    </row>
    <row r="10" ht="13.5" customHeight="1" s="35">
      <c r="A10" s="69" t="n"/>
      <c r="B10" s="48" t="n"/>
      <c r="C10" s="48" t="n"/>
      <c r="D10" s="48" t="n"/>
      <c r="E10" s="48" t="n"/>
      <c r="F10" s="48" t="n"/>
      <c r="G10" s="70" t="n"/>
      <c r="H10" s="69" t="n"/>
      <c r="I10" s="48" t="n"/>
    </row>
    <row r="11" ht="13.5" customHeight="1" s="35">
      <c r="A11" s="69" t="n"/>
      <c r="B11" s="48" t="n"/>
      <c r="C11" s="48" t="n"/>
      <c r="D11" s="48" t="n"/>
      <c r="E11" s="48" t="n"/>
      <c r="F11" s="48" t="n"/>
      <c r="G11" s="70" t="n"/>
      <c r="H11" s="69" t="n"/>
      <c r="I11" s="48" t="n"/>
    </row>
    <row r="12" ht="13.5" customHeight="1" s="35">
      <c r="A12" s="69" t="n"/>
      <c r="B12" s="48" t="n"/>
      <c r="C12" s="48" t="n"/>
      <c r="D12" s="48" t="n"/>
      <c r="E12" s="48" t="n"/>
      <c r="F12" s="48" t="n"/>
      <c r="G12" s="70" t="n"/>
      <c r="H12" s="69" t="n"/>
      <c r="I12" s="48" t="n"/>
    </row>
    <row r="13" ht="13.5" customHeight="1" s="35">
      <c r="A13" s="69" t="n"/>
      <c r="B13" s="48" t="n"/>
      <c r="C13" s="48" t="n"/>
      <c r="D13" s="48" t="n"/>
      <c r="E13" s="48" t="n"/>
      <c r="F13" s="48" t="n"/>
      <c r="G13" s="70" t="n"/>
      <c r="H13" s="69" t="n"/>
      <c r="I13" s="48" t="n"/>
    </row>
    <row r="14" ht="13.5" customHeight="1" s="35">
      <c r="A14" s="69" t="n"/>
      <c r="B14" s="48" t="n"/>
      <c r="C14" s="48" t="n"/>
      <c r="D14" s="48" t="n"/>
      <c r="E14" s="48" t="n"/>
      <c r="F14" s="48" t="n"/>
      <c r="G14" s="70" t="n"/>
      <c r="H14" s="69" t="n"/>
      <c r="I14" s="48" t="n"/>
    </row>
    <row r="15" ht="13.5" customHeight="1" s="35">
      <c r="A15" s="69" t="n"/>
      <c r="B15" s="48" t="n"/>
      <c r="C15" s="48" t="n"/>
      <c r="D15" s="48" t="n"/>
      <c r="E15" s="48" t="n"/>
      <c r="F15" s="48" t="n"/>
      <c r="G15" s="70" t="n"/>
      <c r="H15" s="69" t="n"/>
      <c r="I15" s="48" t="n"/>
    </row>
    <row r="16" ht="13.5" customHeight="1" s="35">
      <c r="A16" s="69" t="n"/>
      <c r="B16" s="48" t="n"/>
      <c r="C16" s="48" t="n"/>
      <c r="D16" s="48" t="n"/>
      <c r="E16" s="48" t="n"/>
      <c r="F16" s="48" t="n"/>
      <c r="G16" s="70" t="n"/>
      <c r="H16" s="69" t="n"/>
      <c r="I16" s="48" t="n"/>
    </row>
    <row r="17" ht="13.5" customHeight="1" s="35">
      <c r="A17" s="69" t="n"/>
      <c r="B17" s="48" t="n"/>
      <c r="C17" s="48" t="n"/>
      <c r="D17" s="48" t="n"/>
      <c r="E17" s="48" t="n"/>
      <c r="F17" s="48" t="n"/>
      <c r="G17" s="70" t="n"/>
      <c r="H17" s="69" t="n"/>
      <c r="I17" s="48" t="n"/>
    </row>
    <row r="18" ht="13.5" customHeight="1" s="35">
      <c r="A18" s="69" t="n"/>
      <c r="B18" s="48" t="n"/>
      <c r="C18" s="48" t="n"/>
      <c r="D18" s="48" t="n"/>
      <c r="E18" s="48" t="n"/>
      <c r="F18" s="48" t="n"/>
      <c r="G18" s="70" t="n"/>
      <c r="H18" s="69" t="n"/>
      <c r="I18" s="48" t="n"/>
    </row>
    <row r="19" ht="13.5" customHeight="1" s="35">
      <c r="A19" s="69" t="n"/>
      <c r="B19" s="48" t="n"/>
      <c r="C19" s="48" t="n"/>
      <c r="D19" s="48" t="n"/>
      <c r="E19" s="48" t="n"/>
      <c r="F19" s="48" t="n"/>
      <c r="G19" s="70" t="n"/>
      <c r="H19" s="69" t="n"/>
      <c r="I19" s="48" t="n"/>
    </row>
    <row r="20" ht="13.5" customHeight="1" s="35">
      <c r="A20" s="69" t="n"/>
      <c r="B20" s="48" t="n"/>
      <c r="C20" s="48" t="n"/>
      <c r="D20" s="48" t="n"/>
      <c r="E20" s="48" t="n"/>
      <c r="F20" s="48" t="n"/>
      <c r="G20" s="70" t="n"/>
      <c r="H20" s="69" t="n"/>
      <c r="I20" s="48" t="n"/>
    </row>
    <row r="21" ht="13.5" customHeight="1" s="35">
      <c r="A21" s="69" t="n"/>
      <c r="B21" s="48" t="n"/>
      <c r="C21" s="48" t="n"/>
      <c r="D21" s="48" t="n"/>
      <c r="E21" s="48" t="n"/>
      <c r="F21" s="48" t="n"/>
      <c r="G21" s="70" t="n"/>
      <c r="H21" s="69" t="n"/>
      <c r="I21" s="48" t="n"/>
    </row>
    <row r="22" ht="13.5" customHeight="1" s="35">
      <c r="A22" s="69" t="n"/>
      <c r="B22" s="48" t="n"/>
      <c r="C22" s="48" t="n"/>
      <c r="D22" s="48" t="n"/>
      <c r="E22" s="48" t="n"/>
      <c r="F22" s="48" t="n"/>
      <c r="G22" s="70" t="n"/>
      <c r="H22" s="69" t="n"/>
      <c r="I22" s="48" t="n"/>
    </row>
    <row r="23" ht="13.5" customHeight="1" s="35">
      <c r="A23" s="69" t="n"/>
      <c r="B23" s="48" t="n"/>
      <c r="C23" s="48" t="n"/>
      <c r="D23" s="48" t="n"/>
      <c r="E23" s="48" t="n"/>
      <c r="F23" s="48" t="n"/>
      <c r="G23" s="70" t="n"/>
      <c r="H23" s="69" t="n"/>
      <c r="I23" s="48" t="n"/>
    </row>
    <row r="24" ht="13.5" customHeight="1" s="35">
      <c r="A24" s="69" t="n"/>
      <c r="B24" s="48" t="n"/>
      <c r="C24" s="48" t="n"/>
      <c r="D24" s="48" t="n"/>
      <c r="E24" s="48" t="n"/>
      <c r="F24" s="48" t="n"/>
      <c r="G24" s="70" t="n"/>
      <c r="H24" s="69" t="n"/>
      <c r="I24" s="48" t="n"/>
    </row>
    <row r="25" ht="13.5" customHeight="1" s="35">
      <c r="A25" s="69" t="n"/>
      <c r="B25" s="48" t="n"/>
      <c r="C25" s="48" t="n"/>
      <c r="D25" s="48" t="n"/>
      <c r="E25" s="48" t="n"/>
      <c r="F25" s="48" t="n"/>
      <c r="G25" s="70" t="n"/>
      <c r="H25" s="69" t="n"/>
      <c r="I25" s="48" t="n"/>
    </row>
    <row r="26" ht="13.5" customHeight="1" s="35">
      <c r="A26" s="69" t="n"/>
      <c r="B26" s="48" t="n"/>
      <c r="C26" s="48" t="n"/>
      <c r="D26" s="48" t="n"/>
      <c r="E26" s="48" t="n"/>
      <c r="F26" s="48" t="n"/>
      <c r="G26" s="70" t="n"/>
      <c r="H26" s="69" t="n"/>
      <c r="I26" s="48" t="n"/>
    </row>
    <row r="27" ht="13.5" customHeight="1" s="35">
      <c r="A27" s="69" t="n"/>
      <c r="B27" s="48" t="n"/>
      <c r="C27" s="48" t="n"/>
      <c r="D27" s="48" t="n"/>
      <c r="E27" s="48" t="n"/>
      <c r="F27" s="48" t="n"/>
      <c r="G27" s="70" t="n"/>
      <c r="H27" s="69" t="n"/>
      <c r="I27" s="48" t="n"/>
    </row>
    <row r="28" ht="13.5" customHeight="1" s="35">
      <c r="A28" s="69" t="n"/>
      <c r="B28" s="48" t="n"/>
      <c r="C28" s="48" t="n"/>
      <c r="D28" s="48" t="n"/>
      <c r="E28" s="48" t="n"/>
      <c r="F28" s="48" t="n"/>
      <c r="G28" s="70" t="n"/>
      <c r="H28" s="69" t="n"/>
      <c r="I28" s="48" t="n"/>
    </row>
    <row r="29" ht="13.5" customHeight="1" s="35">
      <c r="A29" s="69" t="n"/>
      <c r="B29" s="48" t="n"/>
      <c r="C29" s="48" t="n"/>
      <c r="D29" s="48" t="n"/>
      <c r="E29" s="48" t="n"/>
      <c r="F29" s="48" t="n"/>
      <c r="G29" s="70" t="n"/>
      <c r="H29" s="69" t="n"/>
      <c r="I29" s="48" t="n"/>
    </row>
    <row r="30" ht="13.5" customHeight="1" s="35">
      <c r="A30" s="69" t="n"/>
      <c r="B30" s="48" t="n"/>
      <c r="C30" s="48" t="n"/>
      <c r="D30" s="48" t="n"/>
      <c r="E30" s="48" t="n"/>
      <c r="F30" s="48" t="n"/>
      <c r="G30" s="70" t="n"/>
      <c r="H30" s="69" t="n"/>
      <c r="I30" s="48" t="n"/>
    </row>
    <row r="31" ht="13.5" customHeight="1" s="35">
      <c r="A31" s="69" t="n"/>
      <c r="B31" s="48" t="n"/>
      <c r="C31" s="48" t="n"/>
      <c r="D31" s="48" t="n"/>
      <c r="E31" s="48" t="n"/>
      <c r="F31" s="48" t="n"/>
      <c r="G31" s="70" t="n"/>
      <c r="H31" s="69" t="n"/>
      <c r="I31" s="48" t="n"/>
    </row>
    <row r="32" ht="13.5" customHeight="1" s="35">
      <c r="A32" s="69" t="n"/>
      <c r="B32" s="48" t="n"/>
      <c r="C32" s="48" t="n"/>
      <c r="D32" s="48" t="n"/>
      <c r="E32" s="48" t="n"/>
      <c r="F32" s="48" t="n"/>
      <c r="G32" s="70" t="n"/>
      <c r="H32" s="69" t="n"/>
      <c r="I32" s="48" t="n"/>
    </row>
    <row r="33" ht="13.5" customHeight="1" s="35">
      <c r="A33" s="69" t="n"/>
      <c r="B33" s="48" t="n"/>
      <c r="C33" s="48" t="n"/>
      <c r="D33" s="48" t="n"/>
      <c r="E33" s="48" t="n"/>
      <c r="F33" s="48" t="n"/>
      <c r="G33" s="70" t="n"/>
      <c r="H33" s="69" t="n"/>
      <c r="I33" s="48" t="n"/>
    </row>
    <row r="34" ht="13.5" customHeight="1" s="35">
      <c r="A34" s="69" t="n"/>
      <c r="B34" s="48" t="n"/>
      <c r="C34" s="48" t="n"/>
      <c r="D34" s="48" t="n"/>
      <c r="E34" s="48" t="n"/>
      <c r="F34" s="48" t="n"/>
      <c r="G34" s="70" t="n"/>
      <c r="H34" s="69" t="n"/>
      <c r="I34" s="48" t="n"/>
    </row>
    <row r="35" ht="13.5" customHeight="1" s="35">
      <c r="A35" s="69" t="n"/>
      <c r="B35" s="48" t="n"/>
      <c r="C35" s="48" t="n"/>
      <c r="D35" s="48" t="n"/>
      <c r="E35" s="48" t="n"/>
      <c r="F35" s="48" t="n"/>
      <c r="G35" s="70" t="n"/>
      <c r="H35" s="69" t="n"/>
      <c r="I35" s="48" t="n"/>
    </row>
    <row r="36" ht="13.5" customHeight="1" s="35">
      <c r="A36" s="69" t="n"/>
      <c r="B36" s="48" t="n"/>
      <c r="C36" s="48" t="n"/>
      <c r="D36" s="48" t="n"/>
      <c r="E36" s="48" t="n"/>
      <c r="F36" s="48" t="n"/>
      <c r="G36" s="70" t="n"/>
      <c r="H36" s="69" t="n"/>
      <c r="I36" s="48" t="n"/>
    </row>
    <row r="37" ht="13.5" customHeight="1" s="35">
      <c r="A37" s="69" t="n"/>
      <c r="B37" s="48" t="n"/>
      <c r="C37" s="48" t="n"/>
      <c r="D37" s="48" t="n"/>
      <c r="E37" s="48" t="n"/>
      <c r="F37" s="48" t="n"/>
      <c r="G37" s="70" t="n"/>
      <c r="H37" s="69" t="n"/>
      <c r="I37" s="48" t="n"/>
    </row>
    <row r="38" ht="13.5" customHeight="1" s="35">
      <c r="A38" s="69" t="n"/>
      <c r="B38" s="48" t="n"/>
      <c r="C38" s="48" t="n"/>
      <c r="D38" s="48" t="n"/>
      <c r="E38" s="48" t="n"/>
      <c r="F38" s="48" t="n"/>
      <c r="G38" s="70" t="n"/>
      <c r="H38" s="69" t="n"/>
      <c r="I38" s="48" t="n"/>
    </row>
    <row r="39" ht="13.5" customHeight="1" s="35">
      <c r="A39" s="69" t="n"/>
      <c r="B39" s="48" t="n"/>
      <c r="C39" s="48" t="n"/>
      <c r="D39" s="48" t="n"/>
      <c r="E39" s="48" t="n"/>
      <c r="F39" s="48" t="n"/>
      <c r="G39" s="70" t="n"/>
      <c r="H39" s="69" t="n"/>
      <c r="I39" s="48" t="n"/>
    </row>
    <row r="40" ht="13.5" customHeight="1" s="35">
      <c r="A40" s="69" t="n"/>
      <c r="B40" s="48" t="n"/>
      <c r="C40" s="48" t="n"/>
      <c r="D40" s="48" t="n"/>
      <c r="E40" s="48" t="n"/>
      <c r="F40" s="48" t="n"/>
      <c r="G40" s="70" t="n"/>
      <c r="H40" s="69" t="n"/>
      <c r="I40" s="48" t="n"/>
    </row>
    <row r="41" ht="13.5" customHeight="1" s="35">
      <c r="A41" s="69" t="n"/>
      <c r="B41" s="48" t="n"/>
      <c r="C41" s="48" t="n"/>
      <c r="D41" s="48" t="n"/>
      <c r="E41" s="48" t="n"/>
      <c r="F41" s="48" t="n"/>
      <c r="G41" s="70" t="n"/>
      <c r="H41" s="69" t="n"/>
      <c r="I41" s="48" t="n"/>
    </row>
    <row r="42" ht="13.5" customHeight="1" s="35">
      <c r="A42" s="69" t="n"/>
      <c r="B42" s="48" t="n"/>
      <c r="C42" s="48" t="n"/>
      <c r="D42" s="48" t="n"/>
      <c r="E42" s="48" t="n"/>
      <c r="F42" s="48" t="n"/>
      <c r="G42" s="70" t="n"/>
      <c r="H42" s="69" t="n"/>
      <c r="I42" s="48" t="n"/>
    </row>
    <row r="43" ht="13.5" customHeight="1" s="35">
      <c r="A43" s="69" t="n"/>
      <c r="B43" s="48" t="n"/>
      <c r="C43" s="48" t="n"/>
      <c r="D43" s="48" t="n"/>
      <c r="E43" s="48" t="n"/>
      <c r="F43" s="48" t="n"/>
      <c r="G43" s="70" t="n"/>
      <c r="H43" s="69" t="n"/>
      <c r="I43" s="48" t="n"/>
    </row>
    <row r="44" ht="13.5" customHeight="1" s="35">
      <c r="A44" s="69" t="n"/>
      <c r="B44" s="48" t="n"/>
      <c r="C44" s="48" t="n"/>
      <c r="D44" s="48" t="n"/>
      <c r="E44" s="48" t="n"/>
      <c r="F44" s="48" t="n"/>
      <c r="G44" s="70" t="n"/>
      <c r="H44" s="69" t="n"/>
      <c r="I44" s="48" t="n"/>
    </row>
    <row r="45" ht="13.5" customHeight="1" s="35">
      <c r="A45" s="69" t="n"/>
      <c r="B45" s="48" t="n"/>
      <c r="C45" s="48" t="n"/>
      <c r="D45" s="48" t="n"/>
      <c r="E45" s="48" t="n"/>
      <c r="F45" s="48" t="n"/>
      <c r="G45" s="70" t="n"/>
      <c r="H45" s="69" t="n"/>
      <c r="I45" s="48" t="n"/>
    </row>
    <row r="46" ht="13.5" customHeight="1" s="35">
      <c r="A46" s="69" t="n"/>
      <c r="B46" s="48" t="n"/>
      <c r="C46" s="48" t="n"/>
      <c r="D46" s="48" t="n"/>
      <c r="E46" s="48" t="n"/>
      <c r="F46" s="48" t="n"/>
      <c r="G46" s="70" t="n"/>
      <c r="H46" s="69" t="n"/>
      <c r="I46" s="48" t="n"/>
    </row>
    <row r="47" ht="13.5" customHeight="1" s="35">
      <c r="A47" s="69" t="n"/>
      <c r="B47" s="48" t="n"/>
      <c r="C47" s="48" t="n"/>
      <c r="D47" s="48" t="n"/>
      <c r="E47" s="48" t="n"/>
      <c r="F47" s="48" t="n"/>
      <c r="G47" s="70" t="n"/>
      <c r="H47" s="69" t="n"/>
      <c r="I47" s="48" t="n"/>
    </row>
    <row r="48" ht="13.5" customHeight="1" s="35">
      <c r="A48" s="69" t="n"/>
      <c r="B48" s="48" t="n"/>
      <c r="C48" s="48" t="n"/>
      <c r="D48" s="48" t="n"/>
      <c r="E48" s="48" t="n"/>
      <c r="F48" s="48" t="n"/>
      <c r="G48" s="70" t="n"/>
      <c r="H48" s="69" t="n"/>
      <c r="I48" s="48" t="n"/>
    </row>
    <row r="49" ht="13.5" customHeight="1" s="35">
      <c r="A49" s="69" t="n"/>
      <c r="B49" s="48" t="n"/>
      <c r="C49" s="48" t="n"/>
      <c r="D49" s="48" t="n"/>
      <c r="E49" s="48" t="n"/>
      <c r="F49" s="48" t="n"/>
      <c r="G49" s="70" t="n"/>
      <c r="H49" s="69" t="n"/>
      <c r="I49" s="48" t="n"/>
    </row>
    <row r="50" ht="13.5" customHeight="1" s="35">
      <c r="A50" s="69" t="n"/>
      <c r="B50" s="48" t="n"/>
      <c r="C50" s="48" t="n"/>
      <c r="D50" s="48" t="n"/>
      <c r="E50" s="48" t="n"/>
      <c r="F50" s="48" t="n"/>
      <c r="G50" s="70" t="n"/>
      <c r="H50" s="69" t="n"/>
      <c r="I50" s="48" t="n"/>
    </row>
    <row r="51" ht="13.5" customHeight="1" s="35">
      <c r="A51" s="69" t="n"/>
      <c r="B51" s="48" t="n"/>
      <c r="C51" s="48" t="n"/>
      <c r="D51" s="48" t="n"/>
      <c r="E51" s="48" t="n"/>
      <c r="F51" s="48" t="n"/>
      <c r="G51" s="70" t="n"/>
      <c r="H51" s="69" t="n"/>
      <c r="I51" s="48" t="n"/>
    </row>
    <row r="52" ht="13.5" customHeight="1" s="35">
      <c r="A52" s="69" t="n"/>
      <c r="B52" s="48" t="n"/>
      <c r="C52" s="48" t="n"/>
      <c r="D52" s="48" t="n"/>
      <c r="E52" s="48" t="n"/>
      <c r="F52" s="48" t="n"/>
      <c r="G52" s="70" t="n"/>
      <c r="H52" s="69" t="n"/>
      <c r="I52" s="48" t="n"/>
    </row>
    <row r="53" ht="13.5" customHeight="1" s="35">
      <c r="A53" s="69" t="n"/>
      <c r="B53" s="48" t="n"/>
      <c r="C53" s="48" t="n"/>
      <c r="D53" s="48" t="n"/>
      <c r="E53" s="48" t="n"/>
      <c r="F53" s="48" t="n"/>
      <c r="G53" s="70" t="n"/>
      <c r="H53" s="69" t="n"/>
      <c r="I53" s="48" t="n"/>
    </row>
    <row r="54" ht="13.5" customHeight="1" s="35">
      <c r="A54" s="69" t="n"/>
      <c r="B54" s="48" t="n"/>
      <c r="C54" s="48" t="n"/>
      <c r="D54" s="48" t="n"/>
      <c r="E54" s="48" t="n"/>
      <c r="F54" s="48" t="n"/>
      <c r="G54" s="70" t="n"/>
      <c r="H54" s="69" t="n"/>
      <c r="I54" s="48" t="n"/>
    </row>
    <row r="55" ht="13.5" customHeight="1" s="35">
      <c r="A55" s="69" t="n"/>
      <c r="B55" s="48" t="n"/>
      <c r="C55" s="48" t="n"/>
      <c r="D55" s="48" t="n"/>
      <c r="E55" s="48" t="n"/>
      <c r="F55" s="48" t="n"/>
      <c r="G55" s="70" t="n"/>
      <c r="H55" s="69" t="n"/>
      <c r="I55" s="48" t="n"/>
    </row>
    <row r="56" ht="13.5" customHeight="1" s="35">
      <c r="A56" s="69" t="n"/>
      <c r="B56" s="48" t="n"/>
      <c r="C56" s="48" t="n"/>
      <c r="D56" s="48" t="n"/>
      <c r="E56" s="48" t="n"/>
      <c r="F56" s="48" t="n"/>
      <c r="G56" s="70" t="n"/>
      <c r="H56" s="69" t="n"/>
      <c r="I56" s="48" t="n"/>
    </row>
    <row r="57" ht="13.5" customHeight="1" s="35">
      <c r="A57" s="69" t="n"/>
      <c r="B57" s="48" t="n"/>
      <c r="C57" s="48" t="n"/>
      <c r="D57" s="48" t="n"/>
      <c r="E57" s="48" t="n"/>
      <c r="F57" s="48" t="n"/>
      <c r="G57" s="70" t="n"/>
      <c r="H57" s="69" t="n"/>
      <c r="I57" s="48" t="n"/>
    </row>
    <row r="58" ht="13.5" customHeight="1" s="35">
      <c r="A58" s="69" t="n"/>
      <c r="B58" s="48" t="n"/>
      <c r="C58" s="48" t="n"/>
      <c r="D58" s="48" t="n"/>
      <c r="E58" s="48" t="n"/>
      <c r="F58" s="48" t="n"/>
      <c r="G58" s="70" t="n"/>
      <c r="H58" s="69" t="n"/>
      <c r="I58" s="48" t="n"/>
    </row>
    <row r="59" ht="13.5" customHeight="1" s="35">
      <c r="A59" s="69" t="n"/>
      <c r="B59" s="48" t="n"/>
      <c r="C59" s="48" t="n"/>
      <c r="D59" s="48" t="n"/>
      <c r="E59" s="48" t="n"/>
      <c r="F59" s="48" t="n"/>
      <c r="G59" s="70" t="n"/>
      <c r="H59" s="69" t="n"/>
      <c r="I59" s="48" t="n"/>
    </row>
    <row r="60" ht="13.5" customHeight="1" s="35">
      <c r="A60" s="69" t="n"/>
      <c r="B60" s="48" t="n"/>
      <c r="C60" s="48" t="n"/>
      <c r="D60" s="48" t="n"/>
      <c r="E60" s="48" t="n"/>
      <c r="F60" s="48" t="n"/>
      <c r="G60" s="70" t="n"/>
      <c r="H60" s="69" t="n"/>
      <c r="I60" s="48" t="n"/>
    </row>
    <row r="61" ht="13.5" customHeight="1" s="35">
      <c r="A61" s="69" t="n"/>
      <c r="B61" s="48" t="n"/>
      <c r="C61" s="48" t="n"/>
      <c r="D61" s="48" t="n"/>
      <c r="E61" s="48" t="n"/>
      <c r="F61" s="48" t="n"/>
      <c r="G61" s="70" t="n"/>
      <c r="H61" s="69" t="n"/>
      <c r="I61" s="48" t="n"/>
    </row>
    <row r="62" ht="13.5" customHeight="1" s="35">
      <c r="A62" s="69" t="n"/>
      <c r="B62" s="48" t="n"/>
      <c r="C62" s="48" t="n"/>
      <c r="D62" s="48" t="n"/>
      <c r="E62" s="48" t="n"/>
      <c r="F62" s="48" t="n"/>
      <c r="G62" s="70" t="n"/>
      <c r="H62" s="69" t="n"/>
      <c r="I62" s="48" t="n"/>
    </row>
    <row r="63" ht="13.5" customHeight="1" s="35">
      <c r="A63" s="69" t="n"/>
      <c r="B63" s="48" t="n"/>
      <c r="C63" s="48" t="n"/>
      <c r="D63" s="48" t="n"/>
      <c r="E63" s="48" t="n"/>
      <c r="F63" s="48" t="n"/>
      <c r="G63" s="70" t="n"/>
      <c r="H63" s="69" t="n"/>
      <c r="I63" s="48" t="n"/>
    </row>
    <row r="64" ht="13.5" customHeight="1" s="35">
      <c r="A64" s="69" t="n"/>
      <c r="B64" s="48" t="n"/>
      <c r="C64" s="48" t="n"/>
      <c r="D64" s="48" t="n"/>
      <c r="E64" s="48" t="n"/>
      <c r="F64" s="48" t="n"/>
      <c r="G64" s="70" t="n"/>
      <c r="H64" s="69" t="n"/>
      <c r="I64" s="48" t="n"/>
    </row>
    <row r="65" ht="13.5" customHeight="1" s="35">
      <c r="A65" s="69" t="n"/>
      <c r="B65" s="48" t="n"/>
      <c r="C65" s="48" t="n"/>
      <c r="D65" s="48" t="n"/>
      <c r="E65" s="48" t="n"/>
      <c r="F65" s="48" t="n"/>
      <c r="G65" s="70" t="n"/>
      <c r="H65" s="69" t="n"/>
      <c r="I65" s="48" t="n"/>
    </row>
    <row r="66" ht="13.5" customHeight="1" s="35">
      <c r="A66" s="69" t="n"/>
      <c r="B66" s="48" t="n"/>
      <c r="C66" s="48" t="n"/>
      <c r="D66" s="48" t="n"/>
      <c r="E66" s="48" t="n"/>
      <c r="F66" s="48" t="n"/>
      <c r="G66" s="70" t="n"/>
      <c r="H66" s="69" t="n"/>
      <c r="I66" s="48" t="n"/>
    </row>
    <row r="67" ht="13.5" customHeight="1" s="35">
      <c r="A67" s="69" t="n"/>
      <c r="B67" s="48" t="n"/>
      <c r="C67" s="48" t="n"/>
      <c r="D67" s="48" t="n"/>
      <c r="E67" s="48" t="n"/>
      <c r="F67" s="48" t="n"/>
      <c r="G67" s="70" t="n"/>
      <c r="H67" s="69" t="n"/>
      <c r="I67" s="48" t="n"/>
    </row>
    <row r="68" ht="13.5" customHeight="1" s="35">
      <c r="A68" s="69" t="n"/>
      <c r="B68" s="48" t="n"/>
      <c r="C68" s="48" t="n"/>
      <c r="D68" s="48" t="n"/>
      <c r="E68" s="48" t="n"/>
      <c r="F68" s="48" t="n"/>
      <c r="G68" s="70" t="n"/>
      <c r="H68" s="69" t="n"/>
      <c r="I68" s="48" t="n"/>
    </row>
    <row r="69" ht="13.5" customHeight="1" s="35">
      <c r="A69" s="69" t="n"/>
      <c r="B69" s="48" t="n"/>
      <c r="C69" s="48" t="n"/>
      <c r="D69" s="48" t="n"/>
      <c r="E69" s="48" t="n"/>
      <c r="F69" s="48" t="n"/>
      <c r="G69" s="70" t="n"/>
      <c r="H69" s="69" t="n"/>
      <c r="I69" s="48" t="n"/>
    </row>
    <row r="70" ht="13.5" customHeight="1" s="35">
      <c r="A70" s="69" t="n"/>
      <c r="B70" s="48" t="n"/>
      <c r="C70" s="48" t="n"/>
      <c r="D70" s="48" t="n"/>
      <c r="E70" s="48" t="n"/>
      <c r="F70" s="48" t="n"/>
      <c r="G70" s="70" t="n"/>
      <c r="H70" s="69" t="n"/>
      <c r="I70" s="48" t="n"/>
    </row>
    <row r="71" ht="13.5" customHeight="1" s="35">
      <c r="A71" s="69" t="n"/>
      <c r="B71" s="48" t="n"/>
      <c r="C71" s="48" t="n"/>
      <c r="D71" s="48" t="n"/>
      <c r="E71" s="48" t="n"/>
      <c r="F71" s="48" t="n"/>
      <c r="G71" s="70" t="n"/>
      <c r="H71" s="69" t="n"/>
      <c r="I71" s="48" t="n"/>
    </row>
    <row r="72" ht="13.5" customHeight="1" s="35">
      <c r="A72" s="69" t="n"/>
      <c r="B72" s="48" t="n"/>
      <c r="C72" s="48" t="n"/>
      <c r="D72" s="48" t="n"/>
      <c r="E72" s="48" t="n"/>
      <c r="F72" s="48" t="n"/>
      <c r="G72" s="70" t="n"/>
      <c r="H72" s="69" t="n"/>
      <c r="I72" s="48" t="n"/>
    </row>
    <row r="73" ht="13.5" customHeight="1" s="35">
      <c r="A73" s="69" t="n"/>
      <c r="B73" s="48" t="n"/>
      <c r="C73" s="48" t="n"/>
      <c r="D73" s="48" t="n"/>
      <c r="E73" s="48" t="n"/>
      <c r="F73" s="48" t="n"/>
      <c r="G73" s="70" t="n"/>
      <c r="H73" s="69" t="n"/>
      <c r="I73" s="48" t="n"/>
    </row>
    <row r="74" ht="13.5" customHeight="1" s="35">
      <c r="A74" s="69" t="n"/>
      <c r="B74" s="48" t="n"/>
      <c r="C74" s="48" t="n"/>
      <c r="D74" s="48" t="n"/>
      <c r="E74" s="48" t="n"/>
      <c r="F74" s="48" t="n"/>
      <c r="G74" s="70" t="n"/>
      <c r="H74" s="69" t="n"/>
      <c r="I74" s="48" t="n"/>
    </row>
    <row r="75" ht="13.5" customHeight="1" s="35">
      <c r="A75" s="69" t="n"/>
      <c r="B75" s="48" t="n"/>
      <c r="C75" s="48" t="n"/>
      <c r="D75" s="48" t="n"/>
      <c r="E75" s="48" t="n"/>
      <c r="F75" s="48" t="n"/>
      <c r="G75" s="70" t="n"/>
      <c r="H75" s="69" t="n"/>
      <c r="I75" s="48" t="n"/>
    </row>
    <row r="76" ht="13.5" customHeight="1" s="35">
      <c r="A76" s="69" t="n"/>
      <c r="B76" s="48" t="n"/>
      <c r="C76" s="48" t="n"/>
      <c r="D76" s="48" t="n"/>
      <c r="E76" s="48" t="n"/>
      <c r="F76" s="48" t="n"/>
      <c r="G76" s="70" t="n"/>
      <c r="H76" s="69" t="n"/>
      <c r="I76" s="48" t="n"/>
    </row>
    <row r="77" ht="13.5" customHeight="1" s="35">
      <c r="A77" s="69" t="n"/>
      <c r="B77" s="48" t="n"/>
      <c r="C77" s="48" t="n"/>
      <c r="D77" s="48" t="n"/>
      <c r="E77" s="48" t="n"/>
      <c r="F77" s="48" t="n"/>
      <c r="G77" s="70" t="n"/>
      <c r="H77" s="69" t="n"/>
      <c r="I77" s="48" t="n"/>
    </row>
    <row r="78" ht="13.5" customHeight="1" s="35">
      <c r="A78" s="69" t="n"/>
      <c r="B78" s="48" t="n"/>
      <c r="C78" s="48" t="n"/>
      <c r="D78" s="48" t="n"/>
      <c r="E78" s="48" t="n"/>
      <c r="F78" s="48" t="n"/>
      <c r="G78" s="70" t="n"/>
      <c r="H78" s="69" t="n"/>
      <c r="I78" s="48" t="n"/>
    </row>
    <row r="79" ht="13.5" customHeight="1" s="35">
      <c r="A79" s="69" t="n"/>
      <c r="B79" s="48" t="n"/>
      <c r="C79" s="48" t="n"/>
      <c r="D79" s="48" t="n"/>
      <c r="E79" s="48" t="n"/>
      <c r="F79" s="48" t="n"/>
      <c r="G79" s="70" t="n"/>
      <c r="H79" s="69" t="n"/>
      <c r="I79" s="48" t="n"/>
    </row>
    <row r="80" ht="13.5" customHeight="1" s="35">
      <c r="A80" s="69" t="n"/>
      <c r="B80" s="48" t="n"/>
      <c r="C80" s="48" t="n"/>
      <c r="D80" s="48" t="n"/>
      <c r="E80" s="48" t="n"/>
      <c r="F80" s="48" t="n"/>
      <c r="G80" s="70" t="n"/>
      <c r="H80" s="69" t="n"/>
      <c r="I80" s="48" t="n"/>
    </row>
    <row r="81" ht="13.5" customHeight="1" s="35">
      <c r="A81" s="69" t="n"/>
      <c r="B81" s="48" t="n"/>
      <c r="C81" s="48" t="n"/>
      <c r="D81" s="48" t="n"/>
      <c r="E81" s="48" t="n"/>
      <c r="F81" s="48" t="n"/>
      <c r="G81" s="70" t="n"/>
      <c r="H81" s="69" t="n"/>
      <c r="I81" s="48" t="n"/>
    </row>
    <row r="82" ht="13.5" customHeight="1" s="35">
      <c r="A82" s="69" t="n"/>
      <c r="B82" s="48" t="n"/>
      <c r="C82" s="48" t="n"/>
      <c r="D82" s="48" t="n"/>
      <c r="E82" s="48" t="n"/>
      <c r="F82" s="48" t="n"/>
      <c r="G82" s="70" t="n"/>
      <c r="H82" s="69" t="n"/>
      <c r="I82" s="48" t="n"/>
    </row>
    <row r="83" ht="13.5" customHeight="1" s="35">
      <c r="A83" s="69" t="n"/>
      <c r="B83" s="48" t="n"/>
      <c r="C83" s="48" t="n"/>
      <c r="D83" s="48" t="n"/>
      <c r="E83" s="48" t="n"/>
      <c r="F83" s="48" t="n"/>
      <c r="G83" s="70" t="n"/>
      <c r="H83" s="69" t="n"/>
      <c r="I83" s="48" t="n"/>
    </row>
    <row r="84" ht="13.5" customHeight="1" s="35">
      <c r="A84" s="69" t="n"/>
      <c r="B84" s="48" t="n"/>
      <c r="C84" s="48" t="n"/>
      <c r="D84" s="48" t="n"/>
      <c r="E84" s="48" t="n"/>
      <c r="F84" s="48" t="n"/>
      <c r="G84" s="70" t="n"/>
      <c r="H84" s="69" t="n"/>
      <c r="I84" s="48" t="n"/>
    </row>
    <row r="85" ht="13.5" customHeight="1" s="35">
      <c r="A85" s="69" t="n"/>
      <c r="B85" s="48" t="n"/>
      <c r="C85" s="48" t="n"/>
      <c r="D85" s="48" t="n"/>
      <c r="E85" s="48" t="n"/>
      <c r="F85" s="48" t="n"/>
      <c r="G85" s="70" t="n"/>
      <c r="H85" s="69" t="n"/>
      <c r="I85" s="48" t="n"/>
    </row>
    <row r="86" ht="13.5" customHeight="1" s="35">
      <c r="A86" s="69" t="n"/>
      <c r="B86" s="48" t="n"/>
      <c r="C86" s="48" t="n"/>
      <c r="D86" s="48" t="n"/>
      <c r="E86" s="48" t="n"/>
      <c r="F86" s="48" t="n"/>
      <c r="G86" s="70" t="n"/>
      <c r="H86" s="69" t="n"/>
      <c r="I86" s="48" t="n"/>
    </row>
    <row r="87" ht="13.5" customHeight="1" s="35">
      <c r="A87" s="69" t="n"/>
      <c r="B87" s="48" t="n"/>
      <c r="C87" s="48" t="n"/>
      <c r="D87" s="48" t="n"/>
      <c r="E87" s="48" t="n"/>
      <c r="F87" s="48" t="n"/>
      <c r="G87" s="70" t="n"/>
      <c r="H87" s="69" t="n"/>
      <c r="I87" s="48" t="n"/>
    </row>
    <row r="88" ht="13.5" customHeight="1" s="35">
      <c r="A88" s="69" t="n"/>
      <c r="B88" s="48" t="n"/>
      <c r="C88" s="48" t="n"/>
      <c r="D88" s="48" t="n"/>
      <c r="E88" s="48" t="n"/>
      <c r="F88" s="48" t="n"/>
      <c r="G88" s="70" t="n"/>
      <c r="H88" s="69" t="n"/>
      <c r="I88" s="48" t="n"/>
    </row>
    <row r="89" ht="13.5" customHeight="1" s="35">
      <c r="A89" s="69" t="n"/>
      <c r="B89" s="48" t="n"/>
      <c r="C89" s="48" t="n"/>
      <c r="D89" s="48" t="n"/>
      <c r="E89" s="48" t="n"/>
      <c r="F89" s="48" t="n"/>
      <c r="G89" s="70" t="n"/>
      <c r="H89" s="69" t="n"/>
      <c r="I89" s="48" t="n"/>
    </row>
    <row r="90" ht="13.5" customHeight="1" s="35">
      <c r="A90" s="69" t="n"/>
      <c r="B90" s="48" t="n"/>
      <c r="C90" s="48" t="n"/>
      <c r="D90" s="48" t="n"/>
      <c r="E90" s="48" t="n"/>
      <c r="F90" s="48" t="n"/>
      <c r="G90" s="70" t="n"/>
      <c r="H90" s="69" t="n"/>
      <c r="I90" s="48" t="n"/>
    </row>
    <row r="91" ht="13.5" customHeight="1" s="35">
      <c r="A91" s="69" t="n"/>
      <c r="B91" s="48" t="n"/>
      <c r="C91" s="48" t="n"/>
      <c r="D91" s="48" t="n"/>
      <c r="E91" s="48" t="n"/>
      <c r="F91" s="48" t="n"/>
      <c r="G91" s="70" t="n"/>
      <c r="H91" s="69" t="n"/>
      <c r="I91" s="48" t="n"/>
    </row>
    <row r="92" ht="13.5" customHeight="1" s="35">
      <c r="A92" s="69" t="n"/>
      <c r="B92" s="48" t="n"/>
      <c r="C92" s="48" t="n"/>
      <c r="D92" s="48" t="n"/>
      <c r="E92" s="48" t="n"/>
      <c r="F92" s="48" t="n"/>
      <c r="G92" s="70" t="n"/>
      <c r="H92" s="69" t="n"/>
      <c r="I92" s="48" t="n"/>
    </row>
    <row r="93" ht="13.5" customHeight="1" s="35">
      <c r="A93" s="69" t="n"/>
      <c r="B93" s="48" t="n"/>
      <c r="C93" s="48" t="n"/>
      <c r="D93" s="48" t="n"/>
      <c r="E93" s="48" t="n"/>
      <c r="F93" s="48" t="n"/>
      <c r="G93" s="70" t="n"/>
      <c r="H93" s="69" t="n"/>
      <c r="I93" s="48" t="n"/>
    </row>
    <row r="94" ht="13.5" customHeight="1" s="35">
      <c r="A94" s="69" t="n"/>
      <c r="B94" s="48" t="n"/>
      <c r="C94" s="48" t="n"/>
      <c r="D94" s="48" t="n"/>
      <c r="E94" s="48" t="n"/>
      <c r="F94" s="48" t="n"/>
      <c r="G94" s="70" t="n"/>
      <c r="H94" s="69" t="n"/>
      <c r="I94" s="48" t="n"/>
    </row>
    <row r="95" ht="13.5" customHeight="1" s="35">
      <c r="A95" s="69" t="n"/>
      <c r="B95" s="48" t="n"/>
      <c r="C95" s="48" t="n"/>
      <c r="D95" s="48" t="n"/>
      <c r="E95" s="48" t="n"/>
      <c r="F95" s="48" t="n"/>
      <c r="G95" s="70" t="n"/>
      <c r="H95" s="69" t="n"/>
      <c r="I95" s="48" t="n"/>
    </row>
    <row r="96" ht="13.5" customHeight="1" s="35">
      <c r="A96" s="69" t="n"/>
      <c r="B96" s="48" t="n"/>
      <c r="C96" s="48" t="n"/>
      <c r="D96" s="48" t="n"/>
      <c r="E96" s="48" t="n"/>
      <c r="F96" s="48" t="n"/>
      <c r="G96" s="70" t="n"/>
      <c r="H96" s="69" t="n"/>
      <c r="I96" s="48" t="n"/>
    </row>
    <row r="97" ht="13.5" customHeight="1" s="35">
      <c r="A97" s="69" t="n"/>
      <c r="B97" s="48" t="n"/>
      <c r="C97" s="48" t="n"/>
      <c r="D97" s="48" t="n"/>
      <c r="E97" s="48" t="n"/>
      <c r="F97" s="48" t="n"/>
      <c r="G97" s="70" t="n"/>
      <c r="H97" s="69" t="n"/>
      <c r="I97" s="48" t="n"/>
    </row>
    <row r="98" ht="13.5" customHeight="1" s="35">
      <c r="A98" s="69" t="n"/>
      <c r="B98" s="48" t="n"/>
      <c r="C98" s="48" t="n"/>
      <c r="D98" s="48" t="n"/>
      <c r="E98" s="48" t="n"/>
      <c r="F98" s="48" t="n"/>
      <c r="G98" s="70" t="n"/>
      <c r="H98" s="69" t="n"/>
      <c r="I98" s="48" t="n"/>
    </row>
    <row r="99" ht="13.5" customHeight="1" s="35">
      <c r="A99" s="69" t="n"/>
      <c r="B99" s="48" t="n"/>
      <c r="C99" s="48" t="n"/>
      <c r="D99" s="48" t="n"/>
      <c r="E99" s="48" t="n"/>
      <c r="F99" s="48" t="n"/>
      <c r="G99" s="70" t="n"/>
      <c r="H99" s="69" t="n"/>
      <c r="I99" s="48" t="n"/>
    </row>
    <row r="100" ht="13.5" customHeight="1" s="35">
      <c r="A100" s="69" t="n"/>
      <c r="B100" s="48" t="n"/>
      <c r="C100" s="48" t="n"/>
      <c r="D100" s="48" t="n"/>
      <c r="E100" s="48" t="n"/>
      <c r="F100" s="48" t="n"/>
      <c r="G100" s="70" t="n"/>
      <c r="H100" s="69" t="n"/>
      <c r="I100" s="48" t="n"/>
    </row>
    <row r="101" ht="13.5" customHeight="1" s="35">
      <c r="A101" s="69" t="n"/>
      <c r="B101" s="48" t="n"/>
      <c r="C101" s="48" t="n"/>
      <c r="D101" s="48" t="n"/>
      <c r="E101" s="48" t="n"/>
      <c r="F101" s="48" t="n"/>
      <c r="G101" s="70" t="n"/>
      <c r="H101" s="69" t="n"/>
      <c r="I101" s="48" t="n"/>
    </row>
    <row r="102" ht="13.5" customHeight="1" s="35">
      <c r="A102" s="69" t="n"/>
      <c r="B102" s="48" t="n"/>
      <c r="C102" s="48" t="n"/>
      <c r="D102" s="48" t="n"/>
      <c r="E102" s="48" t="n"/>
      <c r="F102" s="48" t="n"/>
      <c r="G102" s="70" t="n"/>
      <c r="H102" s="69" t="n"/>
      <c r="I102" s="48" t="n"/>
    </row>
    <row r="103" ht="13.5" customHeight="1" s="35">
      <c r="A103" s="69" t="n"/>
      <c r="B103" s="48" t="n"/>
      <c r="C103" s="48" t="n"/>
      <c r="D103" s="48" t="n"/>
      <c r="E103" s="48" t="n"/>
      <c r="F103" s="48" t="n"/>
      <c r="G103" s="70" t="n"/>
      <c r="H103" s="69" t="n"/>
      <c r="I103" s="48" t="n"/>
    </row>
    <row r="104" ht="13.5" customHeight="1" s="35">
      <c r="A104" s="69" t="n"/>
      <c r="B104" s="48" t="n"/>
      <c r="C104" s="48" t="n"/>
      <c r="D104" s="48" t="n"/>
      <c r="E104" s="48" t="n"/>
      <c r="F104" s="48" t="n"/>
      <c r="G104" s="70" t="n"/>
      <c r="H104" s="69" t="n"/>
      <c r="I104" s="48" t="n"/>
    </row>
    <row r="105" ht="13.5" customHeight="1" s="35">
      <c r="A105" s="69" t="n"/>
      <c r="B105" s="48" t="n"/>
      <c r="C105" s="48" t="n"/>
      <c r="D105" s="48" t="n"/>
      <c r="E105" s="48" t="n"/>
      <c r="F105" s="48" t="n"/>
      <c r="G105" s="70" t="n"/>
      <c r="H105" s="69" t="n"/>
      <c r="I105" s="48" t="n"/>
    </row>
    <row r="106" ht="13.5" customHeight="1" s="35">
      <c r="A106" s="69" t="n"/>
      <c r="B106" s="48" t="n"/>
      <c r="C106" s="48" t="n"/>
      <c r="D106" s="48" t="n"/>
      <c r="E106" s="48" t="n"/>
      <c r="F106" s="48" t="n"/>
      <c r="G106" s="70" t="n"/>
      <c r="H106" s="69" t="n"/>
      <c r="I106" s="48" t="n"/>
    </row>
    <row r="107" ht="13.5" customHeight="1" s="35">
      <c r="A107" s="69" t="n"/>
      <c r="B107" s="48" t="n"/>
      <c r="C107" s="48" t="n"/>
      <c r="D107" s="48" t="n"/>
      <c r="E107" s="48" t="n"/>
      <c r="F107" s="48" t="n"/>
      <c r="G107" s="70" t="n"/>
      <c r="H107" s="69" t="n"/>
      <c r="I107" s="48" t="n"/>
    </row>
    <row r="108" ht="13.5" customHeight="1" s="35">
      <c r="A108" s="69" t="n"/>
      <c r="B108" s="48" t="n"/>
      <c r="C108" s="48" t="n"/>
      <c r="D108" s="48" t="n"/>
      <c r="E108" s="48" t="n"/>
      <c r="F108" s="48" t="n"/>
      <c r="G108" s="70" t="n"/>
      <c r="H108" s="69" t="n"/>
      <c r="I108" s="48" t="n"/>
    </row>
    <row r="109" ht="13.5" customHeight="1" s="35">
      <c r="A109" s="69" t="n"/>
      <c r="B109" s="48" t="n"/>
      <c r="C109" s="48" t="n"/>
      <c r="D109" s="48" t="n"/>
      <c r="E109" s="48" t="n"/>
      <c r="F109" s="48" t="n"/>
      <c r="G109" s="70" t="n"/>
      <c r="H109" s="69" t="n"/>
      <c r="I109" s="48" t="n"/>
    </row>
    <row r="110" ht="13.5" customHeight="1" s="35">
      <c r="A110" s="69" t="n"/>
      <c r="B110" s="48" t="n"/>
      <c r="C110" s="48" t="n"/>
      <c r="D110" s="48" t="n"/>
      <c r="E110" s="48" t="n"/>
      <c r="F110" s="48" t="n"/>
      <c r="G110" s="70" t="n"/>
      <c r="H110" s="69" t="n"/>
      <c r="I110" s="48" t="n"/>
    </row>
    <row r="111" ht="13.5" customHeight="1" s="35">
      <c r="A111" s="69" t="n"/>
      <c r="B111" s="48" t="n"/>
      <c r="C111" s="48" t="n"/>
      <c r="D111" s="48" t="n"/>
      <c r="E111" s="48" t="n"/>
      <c r="F111" s="48" t="n"/>
      <c r="G111" s="70" t="n"/>
      <c r="H111" s="69" t="n"/>
      <c r="I111" s="48" t="n"/>
    </row>
    <row r="112" ht="13.5" customHeight="1" s="35">
      <c r="A112" s="69" t="n"/>
      <c r="B112" s="48" t="n"/>
      <c r="C112" s="48" t="n"/>
      <c r="D112" s="48" t="n"/>
      <c r="E112" s="48" t="n"/>
      <c r="F112" s="48" t="n"/>
      <c r="G112" s="70" t="n"/>
      <c r="H112" s="69" t="n"/>
      <c r="I112" s="48" t="n"/>
    </row>
    <row r="113" ht="13.5" customHeight="1" s="35">
      <c r="A113" s="69" t="n"/>
      <c r="B113" s="48" t="n"/>
      <c r="C113" s="48" t="n"/>
      <c r="D113" s="48" t="n"/>
      <c r="E113" s="48" t="n"/>
      <c r="F113" s="48" t="n"/>
      <c r="G113" s="70" t="n"/>
      <c r="H113" s="69" t="n"/>
      <c r="I113" s="48" t="n"/>
    </row>
    <row r="114" ht="13.5" customHeight="1" s="35">
      <c r="A114" s="69" t="n"/>
      <c r="B114" s="48" t="n"/>
      <c r="C114" s="48" t="n"/>
      <c r="D114" s="48" t="n"/>
      <c r="E114" s="48" t="n"/>
      <c r="F114" s="48" t="n"/>
      <c r="G114" s="70" t="n"/>
      <c r="H114" s="69" t="n"/>
      <c r="I114" s="48" t="n"/>
    </row>
    <row r="115" ht="13.5" customHeight="1" s="35">
      <c r="A115" s="69" t="n"/>
      <c r="B115" s="48" t="n"/>
      <c r="C115" s="48" t="n"/>
      <c r="D115" s="48" t="n"/>
      <c r="E115" s="48" t="n"/>
      <c r="F115" s="48" t="n"/>
      <c r="G115" s="70" t="n"/>
      <c r="H115" s="69" t="n"/>
      <c r="I115" s="48" t="n"/>
    </row>
    <row r="116" ht="13.5" customHeight="1" s="35">
      <c r="A116" s="69" t="n"/>
      <c r="B116" s="48" t="n"/>
      <c r="C116" s="48" t="n"/>
      <c r="D116" s="48" t="n"/>
      <c r="E116" s="48" t="n"/>
      <c r="F116" s="48" t="n"/>
      <c r="G116" s="70" t="n"/>
      <c r="H116" s="69" t="n"/>
      <c r="I116" s="48" t="n"/>
    </row>
    <row r="117" ht="13.5" customHeight="1" s="35">
      <c r="A117" s="69" t="n"/>
      <c r="B117" s="48" t="n"/>
      <c r="C117" s="48" t="n"/>
      <c r="D117" s="48" t="n"/>
      <c r="E117" s="48" t="n"/>
      <c r="F117" s="48" t="n"/>
      <c r="G117" s="70" t="n"/>
      <c r="H117" s="69" t="n"/>
      <c r="I117" s="48" t="n"/>
    </row>
    <row r="118" ht="13.5" customHeight="1" s="35">
      <c r="A118" s="69" t="n"/>
      <c r="B118" s="48" t="n"/>
      <c r="C118" s="48" t="n"/>
      <c r="D118" s="48" t="n"/>
      <c r="E118" s="48" t="n"/>
      <c r="F118" s="48" t="n"/>
      <c r="G118" s="70" t="n"/>
      <c r="H118" s="69" t="n"/>
      <c r="I118" s="48" t="n"/>
    </row>
    <row r="119" ht="13.5" customHeight="1" s="35">
      <c r="A119" s="69" t="n"/>
      <c r="B119" s="48" t="n"/>
      <c r="C119" s="48" t="n"/>
      <c r="D119" s="48" t="n"/>
      <c r="E119" s="48" t="n"/>
      <c r="F119" s="48" t="n"/>
      <c r="G119" s="70" t="n"/>
      <c r="H119" s="69" t="n"/>
      <c r="I119" s="48" t="n"/>
    </row>
    <row r="120" ht="13.5" customHeight="1" s="35">
      <c r="A120" s="69" t="n"/>
      <c r="B120" s="48" t="n"/>
      <c r="C120" s="48" t="n"/>
      <c r="D120" s="48" t="n"/>
      <c r="E120" s="48" t="n"/>
      <c r="F120" s="48" t="n"/>
      <c r="G120" s="70" t="n"/>
      <c r="H120" s="69" t="n"/>
      <c r="I120" s="48" t="n"/>
    </row>
    <row r="121" ht="13.5" customHeight="1" s="35">
      <c r="A121" s="69" t="n"/>
      <c r="B121" s="48" t="n"/>
      <c r="C121" s="48" t="n"/>
      <c r="D121" s="48" t="n"/>
      <c r="E121" s="48" t="n"/>
      <c r="F121" s="48" t="n"/>
      <c r="G121" s="70" t="n"/>
      <c r="H121" s="69" t="n"/>
      <c r="I121" s="48" t="n"/>
    </row>
    <row r="122" ht="13.5" customHeight="1" s="35">
      <c r="A122" s="69" t="n"/>
      <c r="B122" s="48" t="n"/>
      <c r="C122" s="48" t="n"/>
      <c r="D122" s="48" t="n"/>
      <c r="E122" s="48" t="n"/>
      <c r="F122" s="48" t="n"/>
      <c r="G122" s="70" t="n"/>
      <c r="H122" s="69" t="n"/>
      <c r="I122" s="48" t="n"/>
    </row>
    <row r="123" ht="13.5" customHeight="1" s="35">
      <c r="A123" s="69" t="n"/>
      <c r="B123" s="48" t="n"/>
      <c r="C123" s="48" t="n"/>
      <c r="D123" s="48" t="n"/>
      <c r="E123" s="48" t="n"/>
      <c r="F123" s="48" t="n"/>
      <c r="G123" s="70" t="n"/>
      <c r="H123" s="69" t="n"/>
      <c r="I123" s="48" t="n"/>
    </row>
    <row r="124" ht="13.5" customHeight="1" s="35">
      <c r="A124" s="69" t="n"/>
      <c r="B124" s="48" t="n"/>
      <c r="C124" s="48" t="n"/>
      <c r="D124" s="48" t="n"/>
      <c r="E124" s="48" t="n"/>
      <c r="F124" s="48" t="n"/>
      <c r="G124" s="70" t="n"/>
      <c r="H124" s="69" t="n"/>
      <c r="I124" s="48" t="n"/>
    </row>
    <row r="125" ht="13.5" customHeight="1" s="35">
      <c r="A125" s="69" t="n"/>
      <c r="B125" s="48" t="n"/>
      <c r="C125" s="48" t="n"/>
      <c r="D125" s="48" t="n"/>
      <c r="E125" s="48" t="n"/>
      <c r="F125" s="48" t="n"/>
      <c r="G125" s="70" t="n"/>
      <c r="H125" s="69" t="n"/>
      <c r="I125" s="48" t="n"/>
    </row>
    <row r="126" ht="13.5" customHeight="1" s="35">
      <c r="A126" s="69" t="n"/>
      <c r="B126" s="48" t="n"/>
      <c r="C126" s="48" t="n"/>
      <c r="D126" s="48" t="n"/>
      <c r="E126" s="48" t="n"/>
      <c r="F126" s="48" t="n"/>
      <c r="G126" s="70" t="n"/>
      <c r="H126" s="69" t="n"/>
      <c r="I126" s="48" t="n"/>
    </row>
    <row r="127" ht="13.5" customHeight="1" s="35">
      <c r="A127" s="69" t="n"/>
      <c r="B127" s="48" t="n"/>
      <c r="C127" s="48" t="n"/>
      <c r="D127" s="48" t="n"/>
      <c r="E127" s="48" t="n"/>
      <c r="F127" s="48" t="n"/>
      <c r="G127" s="70" t="n"/>
      <c r="H127" s="69" t="n"/>
      <c r="I127" s="48" t="n"/>
    </row>
    <row r="128" ht="13.5" customHeight="1" s="35">
      <c r="A128" s="69" t="n"/>
      <c r="B128" s="48" t="n"/>
      <c r="C128" s="48" t="n"/>
      <c r="D128" s="48" t="n"/>
      <c r="E128" s="48" t="n"/>
      <c r="F128" s="48" t="n"/>
      <c r="G128" s="70" t="n"/>
      <c r="H128" s="69" t="n"/>
      <c r="I128" s="48" t="n"/>
    </row>
    <row r="129" ht="13.5" customHeight="1" s="35">
      <c r="A129" s="69" t="n"/>
      <c r="B129" s="48" t="n"/>
      <c r="C129" s="48" t="n"/>
      <c r="D129" s="48" t="n"/>
      <c r="E129" s="48" t="n"/>
      <c r="F129" s="48" t="n"/>
      <c r="G129" s="70" t="n"/>
      <c r="H129" s="69" t="n"/>
      <c r="I129" s="48" t="n"/>
    </row>
    <row r="130" ht="13.5" customHeight="1" s="35">
      <c r="A130" s="69" t="n"/>
      <c r="B130" s="48" t="n"/>
      <c r="C130" s="48" t="n"/>
      <c r="D130" s="48" t="n"/>
      <c r="E130" s="48" t="n"/>
      <c r="F130" s="48" t="n"/>
      <c r="G130" s="70" t="n"/>
      <c r="H130" s="69" t="n"/>
      <c r="I130" s="48" t="n"/>
    </row>
    <row r="131" ht="13.5" customHeight="1" s="35">
      <c r="A131" s="69" t="n"/>
      <c r="B131" s="48" t="n"/>
      <c r="C131" s="48" t="n"/>
      <c r="D131" s="48" t="n"/>
      <c r="E131" s="48" t="n"/>
      <c r="F131" s="48" t="n"/>
      <c r="G131" s="70" t="n"/>
      <c r="H131" s="69" t="n"/>
      <c r="I131" s="48" t="n"/>
    </row>
    <row r="132" ht="13.5" customHeight="1" s="35">
      <c r="A132" s="69" t="n"/>
      <c r="B132" s="48" t="n"/>
      <c r="C132" s="48" t="n"/>
      <c r="D132" s="48" t="n"/>
      <c r="E132" s="48" t="n"/>
      <c r="F132" s="48" t="n"/>
      <c r="G132" s="70" t="n"/>
      <c r="H132" s="69" t="n"/>
      <c r="I132" s="48" t="n"/>
    </row>
    <row r="133" ht="13.5" customHeight="1" s="35">
      <c r="A133" s="69" t="n"/>
      <c r="B133" s="48" t="n"/>
      <c r="C133" s="48" t="n"/>
      <c r="D133" s="48" t="n"/>
      <c r="E133" s="48" t="n"/>
      <c r="F133" s="48" t="n"/>
      <c r="G133" s="70" t="n"/>
      <c r="H133" s="69" t="n"/>
      <c r="I133" s="48" t="n"/>
    </row>
    <row r="134" ht="13.5" customHeight="1" s="35">
      <c r="A134" s="69" t="n"/>
      <c r="B134" s="48" t="n"/>
      <c r="C134" s="48" t="n"/>
      <c r="D134" s="48" t="n"/>
      <c r="E134" s="48" t="n"/>
      <c r="F134" s="48" t="n"/>
      <c r="G134" s="70" t="n"/>
      <c r="H134" s="69" t="n"/>
      <c r="I134" s="48" t="n"/>
    </row>
    <row r="135" ht="13.5" customHeight="1" s="35">
      <c r="A135" s="69" t="n"/>
      <c r="B135" s="48" t="n"/>
      <c r="C135" s="48" t="n"/>
      <c r="D135" s="48" t="n"/>
      <c r="E135" s="48" t="n"/>
      <c r="F135" s="48" t="n"/>
      <c r="G135" s="70" t="n"/>
      <c r="H135" s="69" t="n"/>
      <c r="I135" s="48" t="n"/>
    </row>
    <row r="136" ht="13.5" customHeight="1" s="35">
      <c r="A136" s="69" t="n"/>
      <c r="B136" s="48" t="n"/>
      <c r="C136" s="48" t="n"/>
      <c r="D136" s="48" t="n"/>
      <c r="E136" s="48" t="n"/>
      <c r="F136" s="48" t="n"/>
      <c r="G136" s="70" t="n"/>
      <c r="H136" s="69" t="n"/>
      <c r="I136" s="48" t="n"/>
    </row>
    <row r="137" ht="13.5" customHeight="1" s="35">
      <c r="A137" s="69" t="n"/>
      <c r="B137" s="48" t="n"/>
      <c r="C137" s="48" t="n"/>
      <c r="D137" s="48" t="n"/>
      <c r="E137" s="48" t="n"/>
      <c r="F137" s="48" t="n"/>
      <c r="G137" s="70" t="n"/>
      <c r="H137" s="69" t="n"/>
      <c r="I137" s="48" t="n"/>
    </row>
    <row r="138" ht="13.5" customHeight="1" s="35">
      <c r="A138" s="69" t="n"/>
      <c r="B138" s="48" t="n"/>
      <c r="C138" s="48" t="n"/>
      <c r="D138" s="48" t="n"/>
      <c r="E138" s="48" t="n"/>
      <c r="F138" s="48" t="n"/>
      <c r="G138" s="70" t="n"/>
      <c r="H138" s="69" t="n"/>
      <c r="I138" s="48" t="n"/>
    </row>
    <row r="139" ht="13.5" customHeight="1" s="35">
      <c r="A139" s="69" t="n"/>
      <c r="B139" s="48" t="n"/>
      <c r="C139" s="48" t="n"/>
      <c r="D139" s="48" t="n"/>
      <c r="E139" s="48" t="n"/>
      <c r="F139" s="48" t="n"/>
      <c r="G139" s="70" t="n"/>
      <c r="H139" s="69" t="n"/>
      <c r="I139" s="48" t="n"/>
    </row>
    <row r="140" ht="13.5" customHeight="1" s="35">
      <c r="A140" s="69" t="n"/>
      <c r="B140" s="48" t="n"/>
      <c r="C140" s="48" t="n"/>
      <c r="D140" s="48" t="n"/>
      <c r="E140" s="48" t="n"/>
      <c r="F140" s="48" t="n"/>
      <c r="G140" s="70" t="n"/>
      <c r="H140" s="69" t="n"/>
      <c r="I140" s="48" t="n"/>
    </row>
    <row r="141" ht="13.5" customHeight="1" s="35">
      <c r="A141" s="69" t="n"/>
      <c r="B141" s="48" t="n"/>
      <c r="C141" s="48" t="n"/>
      <c r="D141" s="48" t="n"/>
      <c r="E141" s="48" t="n"/>
      <c r="F141" s="48" t="n"/>
      <c r="G141" s="70" t="n"/>
      <c r="H141" s="69" t="n"/>
      <c r="I141" s="48" t="n"/>
    </row>
    <row r="142" ht="13.5" customHeight="1" s="35">
      <c r="A142" s="69" t="n"/>
      <c r="B142" s="48" t="n"/>
      <c r="C142" s="48" t="n"/>
      <c r="D142" s="48" t="n"/>
      <c r="E142" s="48" t="n"/>
      <c r="F142" s="48" t="n"/>
      <c r="G142" s="70" t="n"/>
      <c r="H142" s="69" t="n"/>
      <c r="I142" s="48" t="n"/>
    </row>
    <row r="143" ht="13.5" customHeight="1" s="35">
      <c r="A143" s="69" t="n"/>
      <c r="B143" s="48" t="n"/>
      <c r="C143" s="48" t="n"/>
      <c r="D143" s="48" t="n"/>
      <c r="E143" s="48" t="n"/>
      <c r="F143" s="48" t="n"/>
      <c r="G143" s="70" t="n"/>
      <c r="H143" s="69" t="n"/>
      <c r="I143" s="48" t="n"/>
    </row>
    <row r="144" ht="13.5" customHeight="1" s="35">
      <c r="A144" s="69" t="n"/>
      <c r="B144" s="48" t="n"/>
      <c r="C144" s="48" t="n"/>
      <c r="D144" s="48" t="n"/>
      <c r="E144" s="48" t="n"/>
      <c r="F144" s="48" t="n"/>
      <c r="G144" s="70" t="n"/>
      <c r="H144" s="69" t="n"/>
      <c r="I144" s="48" t="n"/>
    </row>
    <row r="145" ht="13.5" customHeight="1" s="35">
      <c r="A145" s="69" t="n"/>
      <c r="B145" s="48" t="n"/>
      <c r="C145" s="48" t="n"/>
      <c r="D145" s="48" t="n"/>
      <c r="E145" s="48" t="n"/>
      <c r="F145" s="48" t="n"/>
      <c r="G145" s="70" t="n"/>
      <c r="H145" s="69" t="n"/>
      <c r="I145" s="48" t="n"/>
    </row>
    <row r="146" ht="13.5" customHeight="1" s="35">
      <c r="A146" s="69" t="n"/>
      <c r="B146" s="48" t="n"/>
      <c r="C146" s="48" t="n"/>
      <c r="D146" s="48" t="n"/>
      <c r="E146" s="48" t="n"/>
      <c r="F146" s="48" t="n"/>
      <c r="G146" s="70" t="n"/>
      <c r="H146" s="69" t="n"/>
      <c r="I146" s="48" t="n"/>
    </row>
    <row r="147" ht="13.5" customHeight="1" s="35">
      <c r="A147" s="69" t="n"/>
      <c r="B147" s="48" t="n"/>
      <c r="C147" s="48" t="n"/>
      <c r="D147" s="48" t="n"/>
      <c r="E147" s="48" t="n"/>
      <c r="F147" s="48" t="n"/>
      <c r="G147" s="70" t="n"/>
      <c r="H147" s="69" t="n"/>
      <c r="I147" s="48" t="n"/>
    </row>
    <row r="148" ht="13.5" customHeight="1" s="35">
      <c r="A148" s="69" t="n"/>
      <c r="B148" s="48" t="n"/>
      <c r="C148" s="48" t="n"/>
      <c r="D148" s="48" t="n"/>
      <c r="E148" s="48" t="n"/>
      <c r="F148" s="48" t="n"/>
      <c r="G148" s="70" t="n"/>
      <c r="H148" s="69" t="n"/>
      <c r="I148" s="48" t="n"/>
    </row>
    <row r="149" ht="13.5" customHeight="1" s="35">
      <c r="A149" s="69" t="n"/>
      <c r="B149" s="48" t="n"/>
      <c r="C149" s="48" t="n"/>
      <c r="D149" s="48" t="n"/>
      <c r="E149" s="48" t="n"/>
      <c r="F149" s="48" t="n"/>
      <c r="G149" s="70" t="n"/>
      <c r="H149" s="69" t="n"/>
      <c r="I149" s="48" t="n"/>
    </row>
    <row r="150" ht="13.5" customHeight="1" s="35">
      <c r="A150" s="69" t="n"/>
      <c r="B150" s="48" t="n"/>
      <c r="C150" s="48" t="n"/>
      <c r="D150" s="48" t="n"/>
      <c r="E150" s="48" t="n"/>
      <c r="F150" s="48" t="n"/>
      <c r="G150" s="70" t="n"/>
      <c r="H150" s="69" t="n"/>
      <c r="I150" s="48" t="n"/>
    </row>
    <row r="151" ht="13.5" customHeight="1" s="35">
      <c r="A151" s="69" t="n"/>
      <c r="B151" s="48" t="n"/>
      <c r="C151" s="48" t="n"/>
      <c r="D151" s="48" t="n"/>
      <c r="E151" s="48" t="n"/>
      <c r="F151" s="48" t="n"/>
      <c r="G151" s="70" t="n"/>
      <c r="H151" s="69" t="n"/>
      <c r="I151" s="48" t="n"/>
    </row>
    <row r="152" ht="13.5" customHeight="1" s="35">
      <c r="A152" s="69" t="n"/>
      <c r="B152" s="48" t="n"/>
      <c r="C152" s="48" t="n"/>
      <c r="D152" s="48" t="n"/>
      <c r="E152" s="48" t="n"/>
      <c r="F152" s="48" t="n"/>
      <c r="G152" s="70" t="n"/>
      <c r="H152" s="69" t="n"/>
      <c r="I152" s="48" t="n"/>
    </row>
    <row r="153" ht="13.5" customHeight="1" s="35">
      <c r="A153" s="69" t="n"/>
      <c r="B153" s="48" t="n"/>
      <c r="C153" s="48" t="n"/>
      <c r="D153" s="48" t="n"/>
      <c r="E153" s="48" t="n"/>
      <c r="F153" s="48" t="n"/>
      <c r="G153" s="70" t="n"/>
      <c r="H153" s="69" t="n"/>
      <c r="I153" s="48" t="n"/>
    </row>
    <row r="154" ht="13.5" customHeight="1" s="35">
      <c r="A154" s="69" t="n"/>
      <c r="B154" s="48" t="n"/>
      <c r="C154" s="48" t="n"/>
      <c r="D154" s="48" t="n"/>
      <c r="E154" s="48" t="n"/>
      <c r="F154" s="48" t="n"/>
      <c r="G154" s="70" t="n"/>
      <c r="H154" s="69" t="n"/>
      <c r="I154" s="48" t="n"/>
    </row>
    <row r="155" ht="13.5" customHeight="1" s="35">
      <c r="A155" s="69" t="n"/>
      <c r="B155" s="48" t="n"/>
      <c r="C155" s="48" t="n"/>
      <c r="D155" s="48" t="n"/>
      <c r="E155" s="48" t="n"/>
      <c r="F155" s="48" t="n"/>
      <c r="G155" s="70" t="n"/>
      <c r="H155" s="69" t="n"/>
      <c r="I155" s="48" t="n"/>
    </row>
    <row r="156" ht="13.5" customHeight="1" s="35">
      <c r="A156" s="69" t="n"/>
      <c r="B156" s="48" t="n"/>
      <c r="C156" s="48" t="n"/>
      <c r="D156" s="48" t="n"/>
      <c r="E156" s="48" t="n"/>
      <c r="F156" s="48" t="n"/>
      <c r="G156" s="70" t="n"/>
      <c r="H156" s="69" t="n"/>
      <c r="I156" s="48" t="n"/>
    </row>
    <row r="157" ht="13.5" customHeight="1" s="35">
      <c r="A157" s="69" t="n"/>
      <c r="B157" s="48" t="n"/>
      <c r="C157" s="48" t="n"/>
      <c r="D157" s="48" t="n"/>
      <c r="E157" s="48" t="n"/>
      <c r="F157" s="48" t="n"/>
      <c r="G157" s="70" t="n"/>
      <c r="H157" s="69" t="n"/>
      <c r="I157" s="48" t="n"/>
    </row>
    <row r="158" ht="13.5" customHeight="1" s="35">
      <c r="A158" s="69" t="n"/>
      <c r="B158" s="48" t="n"/>
      <c r="C158" s="48" t="n"/>
      <c r="D158" s="48" t="n"/>
      <c r="E158" s="48" t="n"/>
      <c r="F158" s="48" t="n"/>
      <c r="G158" s="70" t="n"/>
      <c r="H158" s="69" t="n"/>
      <c r="I158" s="48" t="n"/>
    </row>
    <row r="159" ht="13.5" customHeight="1" s="35">
      <c r="A159" s="69" t="n"/>
      <c r="B159" s="48" t="n"/>
      <c r="C159" s="48" t="n"/>
      <c r="D159" s="48" t="n"/>
      <c r="E159" s="48" t="n"/>
      <c r="F159" s="48" t="n"/>
      <c r="G159" s="70" t="n"/>
      <c r="H159" s="69" t="n"/>
      <c r="I159" s="48" t="n"/>
    </row>
    <row r="160" ht="13.5" customHeight="1" s="35">
      <c r="A160" s="69" t="n"/>
      <c r="B160" s="48" t="n"/>
      <c r="C160" s="48" t="n"/>
      <c r="D160" s="48" t="n"/>
      <c r="E160" s="48" t="n"/>
      <c r="F160" s="48" t="n"/>
      <c r="G160" s="70" t="n"/>
      <c r="H160" s="69" t="n"/>
      <c r="I160" s="48" t="n"/>
    </row>
    <row r="161" ht="13.5" customHeight="1" s="35">
      <c r="A161" s="69" t="n"/>
      <c r="B161" s="48" t="n"/>
      <c r="C161" s="48" t="n"/>
      <c r="D161" s="48" t="n"/>
      <c r="E161" s="48" t="n"/>
      <c r="F161" s="48" t="n"/>
      <c r="G161" s="70" t="n"/>
      <c r="H161" s="69" t="n"/>
      <c r="I161" s="48" t="n"/>
    </row>
    <row r="162" ht="13.5" customHeight="1" s="35">
      <c r="A162" s="69" t="n"/>
      <c r="B162" s="48" t="n"/>
      <c r="C162" s="48" t="n"/>
      <c r="D162" s="48" t="n"/>
      <c r="E162" s="48" t="n"/>
      <c r="F162" s="48" t="n"/>
      <c r="G162" s="70" t="n"/>
      <c r="H162" s="69" t="n"/>
      <c r="I162" s="48" t="n"/>
    </row>
    <row r="163" ht="13.5" customHeight="1" s="35">
      <c r="A163" s="69" t="n"/>
      <c r="B163" s="48" t="n"/>
      <c r="C163" s="48" t="n"/>
      <c r="D163" s="48" t="n"/>
      <c r="E163" s="48" t="n"/>
      <c r="F163" s="48" t="n"/>
      <c r="G163" s="70" t="n"/>
      <c r="H163" s="69" t="n"/>
      <c r="I163" s="48" t="n"/>
    </row>
    <row r="164" ht="13.5" customHeight="1" s="35">
      <c r="A164" s="69" t="n"/>
      <c r="B164" s="48" t="n"/>
      <c r="C164" s="48" t="n"/>
      <c r="D164" s="48" t="n"/>
      <c r="E164" s="48" t="n"/>
      <c r="F164" s="48" t="n"/>
      <c r="G164" s="70" t="n"/>
      <c r="H164" s="69" t="n"/>
      <c r="I164" s="48" t="n"/>
    </row>
    <row r="165" ht="13.5" customHeight="1" s="35">
      <c r="A165" s="69" t="n"/>
      <c r="B165" s="48" t="n"/>
      <c r="C165" s="48" t="n"/>
      <c r="D165" s="48" t="n"/>
      <c r="E165" s="48" t="n"/>
      <c r="F165" s="48" t="n"/>
      <c r="G165" s="70" t="n"/>
      <c r="H165" s="69" t="n"/>
      <c r="I165" s="48" t="n"/>
    </row>
    <row r="166" ht="13.5" customHeight="1" s="35">
      <c r="A166" s="69" t="n"/>
      <c r="B166" s="48" t="n"/>
      <c r="C166" s="48" t="n"/>
      <c r="D166" s="48" t="n"/>
      <c r="E166" s="48" t="n"/>
      <c r="F166" s="48" t="n"/>
      <c r="G166" s="70" t="n"/>
      <c r="H166" s="69" t="n"/>
      <c r="I166" s="48" t="n"/>
    </row>
    <row r="167" ht="13.5" customHeight="1" s="35">
      <c r="A167" s="69" t="n"/>
      <c r="B167" s="48" t="n"/>
      <c r="C167" s="48" t="n"/>
      <c r="D167" s="48" t="n"/>
      <c r="E167" s="48" t="n"/>
      <c r="F167" s="48" t="n"/>
      <c r="G167" s="70" t="n"/>
      <c r="H167" s="69" t="n"/>
      <c r="I167" s="48" t="n"/>
    </row>
    <row r="168" ht="13.5" customHeight="1" s="35">
      <c r="A168" s="69" t="n"/>
      <c r="B168" s="48" t="n"/>
      <c r="C168" s="48" t="n"/>
      <c r="D168" s="48" t="n"/>
      <c r="E168" s="48" t="n"/>
      <c r="F168" s="48" t="n"/>
      <c r="G168" s="70" t="n"/>
      <c r="H168" s="69" t="n"/>
      <c r="I168" s="48" t="n"/>
    </row>
    <row r="169" ht="13.5" customHeight="1" s="35">
      <c r="A169" s="69" t="n"/>
      <c r="B169" s="48" t="n"/>
      <c r="C169" s="48" t="n"/>
      <c r="D169" s="48" t="n"/>
      <c r="E169" s="48" t="n"/>
      <c r="F169" s="48" t="n"/>
      <c r="G169" s="70" t="n"/>
      <c r="H169" s="69" t="n"/>
      <c r="I169" s="48" t="n"/>
    </row>
    <row r="170" ht="13.5" customHeight="1" s="35">
      <c r="A170" s="69" t="n"/>
      <c r="B170" s="48" t="n"/>
      <c r="C170" s="48" t="n"/>
      <c r="D170" s="48" t="n"/>
      <c r="E170" s="48" t="n"/>
      <c r="F170" s="48" t="n"/>
      <c r="G170" s="70" t="n"/>
      <c r="H170" s="69" t="n"/>
      <c r="I170" s="48" t="n"/>
    </row>
    <row r="171" ht="13.5" customHeight="1" s="35">
      <c r="A171" s="69" t="n"/>
      <c r="B171" s="48" t="n"/>
      <c r="C171" s="48" t="n"/>
      <c r="D171" s="48" t="n"/>
      <c r="E171" s="48" t="n"/>
      <c r="F171" s="48" t="n"/>
      <c r="G171" s="70" t="n"/>
      <c r="H171" s="69" t="n"/>
      <c r="I171" s="48" t="n"/>
    </row>
    <row r="172" ht="13.5" customHeight="1" s="35">
      <c r="A172" s="69" t="n"/>
      <c r="B172" s="48" t="n"/>
      <c r="C172" s="48" t="n"/>
      <c r="D172" s="48" t="n"/>
      <c r="E172" s="48" t="n"/>
      <c r="F172" s="48" t="n"/>
      <c r="G172" s="70" t="n"/>
      <c r="H172" s="69" t="n"/>
      <c r="I172" s="48" t="n"/>
    </row>
    <row r="173" ht="13.5" customHeight="1" s="35">
      <c r="A173" s="69" t="n"/>
      <c r="B173" s="48" t="n"/>
      <c r="C173" s="48" t="n"/>
      <c r="D173" s="48" t="n"/>
      <c r="E173" s="48" t="n"/>
      <c r="F173" s="48" t="n"/>
      <c r="G173" s="70" t="n"/>
      <c r="H173" s="69" t="n"/>
      <c r="I173" s="48" t="n"/>
    </row>
    <row r="174" ht="13.5" customHeight="1" s="35">
      <c r="A174" s="69" t="n"/>
      <c r="B174" s="48" t="n"/>
      <c r="C174" s="48" t="n"/>
      <c r="D174" s="48" t="n"/>
      <c r="E174" s="48" t="n"/>
      <c r="F174" s="48" t="n"/>
      <c r="G174" s="70" t="n"/>
      <c r="H174" s="69" t="n"/>
      <c r="I174" s="48" t="n"/>
    </row>
    <row r="175" ht="13.5" customHeight="1" s="35">
      <c r="A175" s="69" t="n"/>
      <c r="B175" s="48" t="n"/>
      <c r="C175" s="48" t="n"/>
      <c r="D175" s="48" t="n"/>
      <c r="E175" s="48" t="n"/>
      <c r="F175" s="48" t="n"/>
      <c r="G175" s="70" t="n"/>
      <c r="H175" s="69" t="n"/>
      <c r="I175" s="48" t="n"/>
    </row>
    <row r="176" ht="13.5" customHeight="1" s="35">
      <c r="A176" s="69" t="n"/>
      <c r="B176" s="48" t="n"/>
      <c r="C176" s="48" t="n"/>
      <c r="D176" s="48" t="n"/>
      <c r="E176" s="48" t="n"/>
      <c r="F176" s="48" t="n"/>
      <c r="G176" s="70" t="n"/>
      <c r="H176" s="69" t="n"/>
      <c r="I176" s="48" t="n"/>
    </row>
    <row r="177" ht="13.5" customHeight="1" s="35">
      <c r="A177" s="69" t="n"/>
      <c r="B177" s="48" t="n"/>
      <c r="C177" s="48" t="n"/>
      <c r="D177" s="48" t="n"/>
      <c r="E177" s="48" t="n"/>
      <c r="F177" s="48" t="n"/>
      <c r="G177" s="70" t="n"/>
      <c r="H177" s="69" t="n"/>
      <c r="I177" s="48" t="n"/>
    </row>
    <row r="178" ht="13.5" customHeight="1" s="35">
      <c r="A178" s="69" t="n"/>
      <c r="B178" s="48" t="n"/>
      <c r="C178" s="48" t="n"/>
      <c r="D178" s="48" t="n"/>
      <c r="E178" s="48" t="n"/>
      <c r="F178" s="48" t="n"/>
      <c r="G178" s="70" t="n"/>
      <c r="H178" s="69" t="n"/>
      <c r="I178" s="48" t="n"/>
    </row>
    <row r="179" ht="13.5" customHeight="1" s="35">
      <c r="A179" s="69" t="n"/>
      <c r="B179" s="48" t="n"/>
      <c r="C179" s="48" t="n"/>
      <c r="D179" s="48" t="n"/>
      <c r="E179" s="48" t="n"/>
      <c r="F179" s="48" t="n"/>
      <c r="G179" s="70" t="n"/>
      <c r="H179" s="69" t="n"/>
      <c r="I179" s="48" t="n"/>
    </row>
    <row r="180" ht="13.5" customHeight="1" s="35">
      <c r="A180" s="69" t="n"/>
      <c r="B180" s="48" t="n"/>
      <c r="C180" s="48" t="n"/>
      <c r="D180" s="48" t="n"/>
      <c r="E180" s="48" t="n"/>
      <c r="F180" s="48" t="n"/>
      <c r="G180" s="70" t="n"/>
      <c r="H180" s="69" t="n"/>
      <c r="I180" s="48" t="n"/>
    </row>
    <row r="181" ht="13.5" customHeight="1" s="35">
      <c r="A181" s="69" t="n"/>
      <c r="B181" s="48" t="n"/>
      <c r="C181" s="48" t="n"/>
      <c r="D181" s="48" t="n"/>
      <c r="E181" s="48" t="n"/>
      <c r="F181" s="48" t="n"/>
      <c r="G181" s="70" t="n"/>
      <c r="H181" s="69" t="n"/>
      <c r="I181" s="48" t="n"/>
    </row>
    <row r="182" ht="13.5" customHeight="1" s="35">
      <c r="A182" s="69" t="n"/>
      <c r="B182" s="48" t="n"/>
      <c r="C182" s="48" t="n"/>
      <c r="D182" s="48" t="n"/>
      <c r="E182" s="48" t="n"/>
      <c r="F182" s="48" t="n"/>
      <c r="G182" s="70" t="n"/>
      <c r="H182" s="69" t="n"/>
      <c r="I182" s="48" t="n"/>
    </row>
    <row r="183" ht="13.5" customHeight="1" s="35">
      <c r="A183" s="69" t="n"/>
      <c r="B183" s="48" t="n"/>
      <c r="C183" s="48" t="n"/>
      <c r="D183" s="48" t="n"/>
      <c r="E183" s="48" t="n"/>
      <c r="F183" s="48" t="n"/>
      <c r="G183" s="70" t="n"/>
      <c r="H183" s="69" t="n"/>
      <c r="I183" s="48" t="n"/>
    </row>
    <row r="184" ht="13.5" customHeight="1" s="35">
      <c r="A184" s="69" t="n"/>
      <c r="B184" s="48" t="n"/>
      <c r="C184" s="48" t="n"/>
      <c r="D184" s="48" t="n"/>
      <c r="E184" s="48" t="n"/>
      <c r="F184" s="48" t="n"/>
      <c r="G184" s="70" t="n"/>
      <c r="H184" s="69" t="n"/>
      <c r="I184" s="48" t="n"/>
    </row>
    <row r="185" ht="13.5" customHeight="1" s="35">
      <c r="A185" s="69" t="n"/>
      <c r="B185" s="48" t="n"/>
      <c r="C185" s="48" t="n"/>
      <c r="D185" s="48" t="n"/>
      <c r="E185" s="48" t="n"/>
      <c r="F185" s="48" t="n"/>
      <c r="G185" s="70" t="n"/>
      <c r="H185" s="69" t="n"/>
      <c r="I185" s="48" t="n"/>
    </row>
    <row r="186" ht="13.5" customHeight="1" s="35">
      <c r="A186" s="69" t="n"/>
      <c r="B186" s="48" t="n"/>
      <c r="C186" s="48" t="n"/>
      <c r="D186" s="48" t="n"/>
      <c r="E186" s="48" t="n"/>
      <c r="F186" s="48" t="n"/>
      <c r="G186" s="70" t="n"/>
      <c r="H186" s="69" t="n"/>
      <c r="I186" s="48" t="n"/>
    </row>
    <row r="187" ht="13.5" customHeight="1" s="35">
      <c r="A187" s="69" t="n"/>
      <c r="B187" s="48" t="n"/>
      <c r="C187" s="48" t="n"/>
      <c r="D187" s="48" t="n"/>
      <c r="E187" s="48" t="n"/>
      <c r="F187" s="48" t="n"/>
      <c r="G187" s="70" t="n"/>
      <c r="H187" s="69" t="n"/>
      <c r="I187" s="48" t="n"/>
    </row>
    <row r="188" ht="13.5" customHeight="1" s="35">
      <c r="A188" s="69" t="n"/>
      <c r="B188" s="48" t="n"/>
      <c r="C188" s="48" t="n"/>
      <c r="D188" s="48" t="n"/>
      <c r="E188" s="48" t="n"/>
      <c r="F188" s="48" t="n"/>
      <c r="G188" s="70" t="n"/>
      <c r="H188" s="69" t="n"/>
      <c r="I188" s="48" t="n"/>
    </row>
    <row r="189" ht="13.5" customHeight="1" s="35">
      <c r="A189" s="69" t="n"/>
      <c r="B189" s="48" t="n"/>
      <c r="C189" s="48" t="n"/>
      <c r="D189" s="48" t="n"/>
      <c r="E189" s="48" t="n"/>
      <c r="F189" s="48" t="n"/>
      <c r="G189" s="70" t="n"/>
      <c r="H189" s="69" t="n"/>
      <c r="I189" s="48" t="n"/>
    </row>
    <row r="190" ht="13.5" customHeight="1" s="35">
      <c r="A190" s="69" t="n"/>
      <c r="B190" s="48" t="n"/>
      <c r="C190" s="48" t="n"/>
      <c r="D190" s="48" t="n"/>
      <c r="E190" s="48" t="n"/>
      <c r="F190" s="48" t="n"/>
      <c r="G190" s="70" t="n"/>
      <c r="H190" s="69" t="n"/>
      <c r="I190" s="48" t="n"/>
    </row>
    <row r="191" ht="13.5" customHeight="1" s="35">
      <c r="A191" s="69" t="n"/>
      <c r="B191" s="48" t="n"/>
      <c r="C191" s="48" t="n"/>
      <c r="D191" s="48" t="n"/>
      <c r="E191" s="48" t="n"/>
      <c r="F191" s="48" t="n"/>
      <c r="G191" s="70" t="n"/>
      <c r="H191" s="69" t="n"/>
      <c r="I191" s="48" t="n"/>
    </row>
    <row r="192" ht="13.5" customHeight="1" s="35">
      <c r="A192" s="69" t="n"/>
      <c r="B192" s="48" t="n"/>
      <c r="C192" s="48" t="n"/>
      <c r="D192" s="48" t="n"/>
      <c r="E192" s="48" t="n"/>
      <c r="F192" s="48" t="n"/>
      <c r="G192" s="70" t="n"/>
      <c r="H192" s="69" t="n"/>
      <c r="I192" s="48" t="n"/>
    </row>
    <row r="193" ht="13.5" customHeight="1" s="35">
      <c r="A193" s="69" t="n"/>
      <c r="B193" s="48" t="n"/>
      <c r="C193" s="48" t="n"/>
      <c r="D193" s="48" t="n"/>
      <c r="E193" s="48" t="n"/>
      <c r="F193" s="48" t="n"/>
      <c r="G193" s="70" t="n"/>
      <c r="H193" s="69" t="n"/>
      <c r="I193" s="48" t="n"/>
    </row>
    <row r="194" ht="13.5" customHeight="1" s="35">
      <c r="A194" s="69" t="n"/>
      <c r="B194" s="48" t="n"/>
      <c r="C194" s="48" t="n"/>
      <c r="D194" s="48" t="n"/>
      <c r="E194" s="48" t="n"/>
      <c r="F194" s="48" t="n"/>
      <c r="G194" s="70" t="n"/>
      <c r="H194" s="69" t="n"/>
      <c r="I194" s="48" t="n"/>
    </row>
    <row r="195" ht="13.5" customHeight="1" s="35">
      <c r="A195" s="69" t="n"/>
      <c r="B195" s="48" t="n"/>
      <c r="C195" s="48" t="n"/>
      <c r="D195" s="48" t="n"/>
      <c r="E195" s="48" t="n"/>
      <c r="F195" s="48" t="n"/>
      <c r="G195" s="70" t="n"/>
      <c r="H195" s="69" t="n"/>
      <c r="I195" s="48" t="n"/>
    </row>
    <row r="196" ht="13.5" customHeight="1" s="35">
      <c r="A196" s="69" t="n"/>
      <c r="B196" s="48" t="n"/>
      <c r="C196" s="48" t="n"/>
      <c r="D196" s="48" t="n"/>
      <c r="E196" s="48" t="n"/>
      <c r="F196" s="48" t="n"/>
      <c r="G196" s="70" t="n"/>
      <c r="H196" s="69" t="n"/>
      <c r="I196" s="48" t="n"/>
    </row>
    <row r="197" ht="13.5" customHeight="1" s="35">
      <c r="A197" s="69" t="n"/>
      <c r="B197" s="48" t="n"/>
      <c r="C197" s="48" t="n"/>
      <c r="D197" s="48" t="n"/>
      <c r="E197" s="48" t="n"/>
      <c r="F197" s="48" t="n"/>
      <c r="G197" s="70" t="n"/>
      <c r="H197" s="69" t="n"/>
      <c r="I197" s="48" t="n"/>
    </row>
    <row r="198" ht="13.5" customHeight="1" s="35">
      <c r="A198" s="69" t="n"/>
      <c r="B198" s="48" t="n"/>
      <c r="C198" s="48" t="n"/>
      <c r="D198" s="48" t="n"/>
      <c r="E198" s="48" t="n"/>
      <c r="F198" s="48" t="n"/>
      <c r="G198" s="70" t="n"/>
      <c r="H198" s="69" t="n"/>
      <c r="I198" s="48" t="n"/>
    </row>
    <row r="199" ht="13.5" customHeight="1" s="35">
      <c r="A199" s="69" t="n"/>
      <c r="B199" s="48" t="n"/>
      <c r="C199" s="48" t="n"/>
      <c r="D199" s="48" t="n"/>
      <c r="E199" s="48" t="n"/>
      <c r="F199" s="48" t="n"/>
      <c r="G199" s="70" t="n"/>
      <c r="H199" s="69" t="n"/>
      <c r="I199" s="48" t="n"/>
    </row>
    <row r="200" ht="13.5" customHeight="1" s="35">
      <c r="A200" s="69" t="n"/>
      <c r="B200" s="48" t="n"/>
      <c r="C200" s="48" t="n"/>
      <c r="D200" s="48" t="n"/>
      <c r="E200" s="48" t="n"/>
      <c r="F200" s="48" t="n"/>
      <c r="G200" s="70" t="n"/>
      <c r="H200" s="69" t="n"/>
      <c r="I200" s="48" t="n"/>
    </row>
  </sheetData>
  <conditionalFormatting sqref="G2:G200">
    <cfRule type="cellIs" rank="0" priority="2" equalAverage="0" operator="lessThan" aboveAverage="0" dxfId="0" text="" percent="0" bottom="0">
      <formula>0</formula>
    </cfRule>
  </conditionalFormatting>
  <dataValidations count="2">
    <dataValidation sqref="D2:D200" showDropDown="0" showInputMessage="1" showErrorMessage="1" allowBlank="1" type="list" errorStyle="stop" operator="between">
      <formula1>"정기 점검,사전 점검,사후 점검,수리,청소,펌웨어 업데이트,캘리브레이션"</formula1>
      <formula2>0</formula2>
    </dataValidation>
    <dataValidation sqref="F2:F200" showDropDown="0" showInputMessage="1" showErrorMessage="1" allowBlank="1" type="list" errorStyle="stop" operator="between">
      <formula1>"이상 없음,경미한 이상,수리 필요,긴급"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05555555556"/>
  <pageSetup orientation="portrait" paperSize="1" scale="100" fitToHeight="1" fitToWidth="1" pageOrder="downThenOver" blackAndWhite="0" draft="0" horizontalDpi="300" verticalDpi="300" copies="1"/>
  <headerFooter differentOddEven="0" differentFirst="0">
    <oddHeader/>
    <oddFooter>&amp;C&amp;"Helvetica Neue,Regular"&amp;12 &amp;K000000&amp;P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05" customWidth="1" style="34" min="1" max="1"/>
    <col width="8.68" customWidth="1" style="34" min="2" max="16384"/>
  </cols>
  <sheetData>
    <row r="1" ht="20.25" customHeight="1" s="35">
      <c r="A1" s="71" t="inlineStr">
        <is>
          <t>장비 리스트 양식 사용 안내</t>
        </is>
      </c>
      <c r="B1" s="66" t="n"/>
      <c r="C1" s="66" t="n"/>
      <c r="D1" s="66" t="n"/>
      <c r="E1" s="66" t="n"/>
    </row>
    <row r="2" ht="14.25" customHeight="1" s="35">
      <c r="A2" s="72" t="n"/>
      <c r="B2" s="66" t="n"/>
      <c r="C2" s="66" t="n"/>
      <c r="D2" s="66" t="n"/>
      <c r="E2" s="66" t="n"/>
    </row>
    <row r="3" ht="18.75" customHeight="1" s="35">
      <c r="A3" s="73" t="inlineStr">
        <is>
          <t>■ 컬럼 구조 (총 20개)</t>
        </is>
      </c>
      <c r="B3" s="66" t="n"/>
      <c r="C3" s="66" t="n"/>
      <c r="D3" s="66" t="n"/>
      <c r="E3" s="66" t="n"/>
    </row>
    <row r="4" ht="16.5" customHeight="1" s="35">
      <c r="A4" s="74" t="inlineStr">
        <is>
          <t>A 자산번호 | B 별칭 | C 이미지 URL | D 미리보기 | E 카테고리 | F 세부분류</t>
        </is>
      </c>
      <c r="B4" s="66" t="n"/>
      <c r="C4" s="66" t="n"/>
      <c r="D4" s="66" t="n"/>
      <c r="E4" s="66" t="n"/>
    </row>
    <row r="5" ht="16.5" customHeight="1" s="35">
      <c r="A5" s="74" t="inlineStr">
        <is>
          <t>G 제품명 | H 브랜드 | I 모델명 | J 시리얼번호 | K 상태 | L 보관위치</t>
        </is>
      </c>
      <c r="B5" s="66" t="n"/>
      <c r="C5" s="66" t="n"/>
      <c r="D5" s="66" t="n"/>
      <c r="E5" s="66" t="n"/>
    </row>
    <row r="6" ht="16.5" customHeight="1" s="35">
      <c r="A6" s="74" t="inlineStr">
        <is>
          <t>M 구매일 | N 구매처 | O 구매가격(원) | P 마지막 점검일 | Q 점검주기(개월)</t>
        </is>
      </c>
      <c r="B6" s="66" t="n"/>
      <c r="C6" s="66" t="n"/>
      <c r="D6" s="66" t="n"/>
      <c r="E6" s="66" t="n"/>
    </row>
    <row r="7" ht="16.5" customHeight="1" s="35">
      <c r="A7" s="74" t="inlineStr">
        <is>
          <t>R 다음 점검일(자동) | S QR 라벨 URL | T 비고</t>
        </is>
      </c>
      <c r="B7" s="66" t="n"/>
      <c r="C7" s="66" t="n"/>
      <c r="D7" s="66" t="n"/>
      <c r="E7" s="66" t="n"/>
    </row>
    <row r="8" ht="14.25" customHeight="1" s="35">
      <c r="A8" s="72" t="n"/>
      <c r="B8" s="66" t="n"/>
      <c r="C8" s="66" t="n"/>
      <c r="D8" s="66" t="n"/>
      <c r="E8" s="66" t="n"/>
    </row>
    <row r="9" ht="18.75" customHeight="1" s="35">
      <c r="A9" s="73" t="inlineStr">
        <is>
          <t>■ 네이밍 규칙</t>
        </is>
      </c>
      <c r="B9" s="66" t="n"/>
      <c r="C9" s="66" t="n"/>
      <c r="D9" s="66" t="n"/>
      <c r="E9" s="66" t="n"/>
    </row>
    <row r="10" ht="16.5" customHeight="1" s="35">
      <c r="A10" s="75" t="inlineStr">
        <is>
          <t>기본 포맷: [카테고리 3자리]-[연번 3자리]</t>
        </is>
      </c>
      <c r="B10" s="66" t="n"/>
      <c r="C10" s="66" t="n"/>
      <c r="D10" s="66" t="n"/>
      <c r="E10" s="66" t="n"/>
    </row>
    <row r="11" ht="16.5" customHeight="1" s="35">
      <c r="A11" s="75" t="inlineStr">
        <is>
          <t>예) LIT-001 (조명 1번), CAM-003 (카메라 3번), LEN-002 (렌즈 2번)</t>
        </is>
      </c>
      <c r="B11" s="66" t="n"/>
      <c r="C11" s="66" t="n"/>
      <c r="D11" s="66" t="n"/>
      <c r="E11" s="66" t="n"/>
    </row>
    <row r="12" ht="14.25" customHeight="1" s="35">
      <c r="A12" s="72" t="n"/>
      <c r="B12" s="66" t="n"/>
      <c r="C12" s="66" t="n"/>
      <c r="D12" s="66" t="n"/>
      <c r="E12" s="66" t="n"/>
    </row>
    <row r="13" ht="16.5" customHeight="1" s="35">
      <c r="A13" s="74" t="inlineStr">
        <is>
          <t>2단계 포맷 (스탠드/배터리): [카테고리]-[세부타입]-[연번]</t>
        </is>
      </c>
      <c r="B13" s="66" t="n"/>
      <c r="C13" s="66" t="n"/>
      <c r="D13" s="66" t="n"/>
      <c r="E13" s="66" t="n"/>
    </row>
    <row r="14" ht="16.5" customHeight="1" s="35">
      <c r="A14" s="74" t="inlineStr">
        <is>
          <t>- 스탠드: STD-A-001 (A스탠드), STD-AS-001 (작은 A), STD-C-001 (C스탠드), STD-T-001 (T스탠드)</t>
        </is>
      </c>
      <c r="B14" s="66" t="n"/>
      <c r="C14" s="66" t="n"/>
      <c r="D14" s="66" t="n"/>
      <c r="E14" s="66" t="n"/>
    </row>
    <row r="15" ht="15.75" customHeight="1" s="35">
      <c r="A15" s="74" t="inlineStr">
        <is>
          <t>- 배터리: BAT-FZ-001 (Sony FZ100), BAT-V-001 (V마운트), BAT-F-001 (NP-F / F마운트)</t>
        </is>
      </c>
      <c r="B15" s="66" t="n"/>
      <c r="C15" s="66" t="n"/>
      <c r="D15" s="66" t="n"/>
      <c r="E15" s="66" t="n"/>
    </row>
    <row r="16" ht="16.5" customHeight="1" s="35">
      <c r="A16" s="75" t="inlineStr">
        <is>
          <t>→ 현장에서 라벨만 봐도 종류 즉시 구분되도록 2단계 적용</t>
        </is>
      </c>
      <c r="B16" s="66" t="n"/>
      <c r="C16" s="66" t="n"/>
      <c r="D16" s="66" t="n"/>
      <c r="E16" s="66" t="n"/>
    </row>
    <row r="17" ht="14.25" customHeight="1" s="35">
      <c r="A17" s="72" t="n"/>
      <c r="B17" s="66" t="n"/>
      <c r="C17" s="66" t="n"/>
      <c r="D17" s="66" t="n"/>
      <c r="E17" s="66" t="n"/>
    </row>
    <row r="18" ht="16.5" customHeight="1" s="35">
      <c r="A18" s="74" t="inlineStr">
        <is>
          <t>- 폐기되어도 번호는 재사용하지 않음 (이력 추적용)</t>
        </is>
      </c>
      <c r="B18" s="66" t="n"/>
      <c r="C18" s="66" t="n"/>
      <c r="D18" s="66" t="n"/>
      <c r="E18" s="66" t="n"/>
    </row>
    <row r="19" ht="16.5" customHeight="1" s="35">
      <c r="A19" s="74" t="inlineStr">
        <is>
          <t>- 같은 모델 여러 대 보유 시 순차 부여</t>
        </is>
      </c>
      <c r="B19" s="66" t="n"/>
      <c r="C19" s="66" t="n"/>
      <c r="D19" s="66" t="n"/>
      <c r="E19" s="66" t="n"/>
    </row>
    <row r="20" ht="14.25" customHeight="1" s="35">
      <c r="A20" s="72" t="n"/>
      <c r="B20" s="66" t="n"/>
      <c r="C20" s="66" t="n"/>
      <c r="D20" s="66" t="n"/>
      <c r="E20" s="66" t="n"/>
    </row>
    <row r="21" ht="18.75" customHeight="1" s="35">
      <c r="A21" s="73" t="inlineStr">
        <is>
          <t>■ 별칭 (B열) - 현장 호칭</t>
        </is>
      </c>
      <c r="B21" s="66" t="n"/>
      <c r="C21" s="66" t="n"/>
      <c r="D21" s="66" t="n"/>
      <c r="E21" s="66" t="n"/>
    </row>
    <row r="22" ht="16.5" customHeight="1" s="35">
      <c r="A22" s="75" t="inlineStr">
        <is>
          <t>정식 모델명과 별개로 현장에서 부르는 이름 입력</t>
        </is>
      </c>
      <c r="B22" s="66" t="n"/>
      <c r="C22" s="66" t="n"/>
      <c r="D22" s="66" t="n"/>
      <c r="E22" s="66" t="n"/>
    </row>
    <row r="23" ht="15.75" customHeight="1" s="35">
      <c r="A23" s="75" t="inlineStr">
        <is>
          <t>예) Sony FE 70-200mm F2.8 GM II → "70-200"</t>
        </is>
      </c>
      <c r="B23" s="66" t="n"/>
      <c r="C23" s="66" t="n"/>
      <c r="D23" s="66" t="n"/>
      <c r="E23" s="66" t="n"/>
    </row>
    <row r="24" ht="16.5" customHeight="1" s="35">
      <c r="A24" s="74" t="inlineStr">
        <is>
          <t xml:space="preserve">    Aputure 300D Mark II → "AD300" 또는 "키라이트"</t>
        </is>
      </c>
      <c r="B24" s="66" t="n"/>
      <c r="C24" s="66" t="n"/>
      <c r="D24" s="66" t="n"/>
      <c r="E24" s="66" t="n"/>
    </row>
    <row r="25" ht="16.5" customHeight="1" s="35">
      <c r="A25" s="74" t="inlineStr">
        <is>
          <t xml:space="preserve">    Manfrotto MVK504XTWINFA → "504X" 또는 "메인 트라이팟"</t>
        </is>
      </c>
      <c r="B25" s="66" t="n"/>
      <c r="C25" s="66" t="n"/>
      <c r="D25" s="66" t="n"/>
      <c r="E25" s="66" t="n"/>
    </row>
    <row r="26" ht="16.5" customHeight="1" s="35">
      <c r="A26" s="75" t="inlineStr">
        <is>
          <t>→ 검색/필터/대화 시 별칭으로 찾는 게 훨씬 빠름</t>
        </is>
      </c>
      <c r="B26" s="66" t="n"/>
      <c r="C26" s="66" t="n"/>
      <c r="D26" s="66" t="n"/>
      <c r="E26" s="66" t="n"/>
    </row>
    <row r="27" ht="14.25" customHeight="1" s="35">
      <c r="A27" s="72" t="n"/>
      <c r="B27" s="66" t="n"/>
      <c r="C27" s="66" t="n"/>
      <c r="D27" s="66" t="n"/>
      <c r="E27" s="66" t="n"/>
    </row>
    <row r="28" ht="18.75" customHeight="1" s="35">
      <c r="A28" s="73" t="inlineStr">
        <is>
          <t>■ 이미지 (C, D열) - 자동 썸네일</t>
        </is>
      </c>
      <c r="B28" s="66" t="n"/>
      <c r="C28" s="66" t="n"/>
      <c r="D28" s="66" t="n"/>
      <c r="E28" s="66" t="n"/>
    </row>
    <row r="29" ht="16.5" customHeight="1" s="35">
      <c r="A29" s="74" t="inlineStr">
        <is>
          <t>1. Google Drive에 "장비사진" 폴더 생성</t>
        </is>
      </c>
      <c r="B29" s="66" t="n"/>
      <c r="C29" s="66" t="n"/>
      <c r="D29" s="66" t="n"/>
      <c r="E29" s="66" t="n"/>
    </row>
    <row r="30" ht="16.5" customHeight="1" s="35">
      <c r="A30" s="74" t="inlineStr">
        <is>
          <t>2. 사진 업로드 후 "링크 복사" (공유: 링크가 있는 모든 사용자 - 보기)</t>
        </is>
      </c>
      <c r="B30" s="66" t="n"/>
      <c r="C30" s="66" t="n"/>
      <c r="D30" s="66" t="n"/>
      <c r="E30" s="66" t="n"/>
    </row>
    <row r="31" ht="16.5" customHeight="1" s="35">
      <c r="A31" s="74" t="inlineStr">
        <is>
          <t>3. 복사한 링크가 https://drive.google.com/file/d/[FILE_ID]/view... 형식이면</t>
        </is>
      </c>
      <c r="B31" s="66" t="n"/>
      <c r="C31" s="66" t="n"/>
      <c r="D31" s="66" t="n"/>
      <c r="E31" s="66" t="n"/>
    </row>
    <row r="32" ht="16.5" customHeight="1" s="35">
      <c r="A32" s="74" t="inlineStr">
        <is>
          <t xml:space="preserve">   → https://drive.google.com/uc?id=[FILE_ID] 로 변환해서 C열에 붙여넣기</t>
        </is>
      </c>
      <c r="B32" s="66" t="n"/>
      <c r="C32" s="66" t="n"/>
      <c r="D32" s="66" t="n"/>
      <c r="E32" s="66" t="n"/>
    </row>
    <row r="33" ht="16.5" customHeight="1" s="35">
      <c r="A33" s="74" t="inlineStr">
        <is>
          <t>4. D열 미리보기는 =IF(C2="","",IMAGE(C2)) 수식으로 자동 렌더링</t>
        </is>
      </c>
      <c r="B33" s="66" t="n"/>
      <c r="C33" s="66" t="n"/>
      <c r="D33" s="66" t="n"/>
      <c r="E33" s="66" t="n"/>
    </row>
    <row r="34" ht="14.25" customHeight="1" s="35">
      <c r="A34" s="72" t="n"/>
      <c r="B34" s="66" t="n"/>
      <c r="C34" s="66" t="n"/>
      <c r="D34" s="66" t="n"/>
      <c r="E34" s="66" t="n"/>
    </row>
    <row r="35" ht="16.5" customHeight="1" s="35">
      <c r="A35" s="74" t="inlineStr">
        <is>
          <t>[Google Sheets URL 변환 헬퍼 수식]</t>
        </is>
      </c>
      <c r="B35" s="66" t="n"/>
      <c r="C35" s="66" t="n"/>
      <c r="D35" s="66" t="n"/>
      <c r="E35" s="66" t="n"/>
    </row>
    <row r="36" ht="16.5" customHeight="1" s="35">
      <c r="A36" s="75" t="inlineStr">
        <is>
          <t>기존 공유 URL을 D열에 직접 넣고 싶을 때:</t>
        </is>
      </c>
      <c r="B36" s="66" t="n"/>
      <c r="C36" s="66" t="n"/>
      <c r="D36" s="66" t="n"/>
      <c r="E36" s="66" t="n"/>
    </row>
    <row r="37" ht="14.25" customHeight="1" s="35">
      <c r="A37" s="72" t="n"/>
      <c r="B37" s="66" t="n"/>
      <c r="C37" s="66" t="n"/>
      <c r="D37" s="66" t="n"/>
      <c r="E37" s="66" t="n"/>
    </row>
    <row r="38" ht="14.25" customHeight="1" s="35">
      <c r="A38" s="72" t="n"/>
      <c r="B38" s="66" t="n"/>
      <c r="C38" s="66" t="n"/>
      <c r="D38" s="66" t="n"/>
      <c r="E38" s="66" t="n"/>
    </row>
    <row r="39" ht="16.5" customHeight="1" s="35">
      <c r="A39" s="74" t="inlineStr">
        <is>
          <t>- Excel 365 (Microsoft 365 구독) 최신 버전도 IMAGE() 함수 지원</t>
        </is>
      </c>
      <c r="B39" s="66" t="n"/>
      <c r="C39" s="66" t="n"/>
      <c r="D39" s="66" t="n"/>
      <c r="E39" s="66" t="n"/>
    </row>
    <row r="40" ht="16.5" customHeight="1" s="35">
      <c r="A40" s="74" t="inlineStr">
        <is>
          <t>- IMAGE 수식은 정렬/필터 시에도 안 깨짐 (셀에 박혀있음)</t>
        </is>
      </c>
      <c r="B40" s="66" t="n"/>
      <c r="C40" s="66" t="n"/>
      <c r="D40" s="66" t="n"/>
      <c r="E40" s="66" t="n"/>
    </row>
    <row r="41" ht="14.25" customHeight="1" s="35">
      <c r="A41" s="72" t="n"/>
      <c r="B41" s="66" t="n"/>
      <c r="C41" s="66" t="n"/>
      <c r="D41" s="66" t="n"/>
      <c r="E41" s="66" t="n"/>
    </row>
    <row r="42" ht="18.75" customHeight="1" s="35">
      <c r="A42" s="73" t="inlineStr">
        <is>
          <t>■ 컬럼 입력 가이드</t>
        </is>
      </c>
      <c r="B42" s="66" t="n"/>
      <c r="C42" s="66" t="n"/>
      <c r="D42" s="66" t="n"/>
      <c r="E42" s="66" t="n"/>
    </row>
    <row r="43" ht="16.5" customHeight="1" s="35">
      <c r="A43" s="75" t="inlineStr">
        <is>
          <t>카테고리(E): 드롭다운에서 선택</t>
        </is>
      </c>
      <c r="B43" s="66" t="n"/>
      <c r="C43" s="66" t="n"/>
      <c r="D43" s="66" t="n"/>
      <c r="E43" s="66" t="n"/>
    </row>
    <row r="44" ht="16.5" customHeight="1" s="35">
      <c r="A44" s="75" t="inlineStr">
        <is>
          <t>상태(K): 정상/수리중/수리필요/점검필요/대여중/분실/폐기 (드롭다운)</t>
        </is>
      </c>
      <c r="B44" s="66" t="n"/>
      <c r="C44" s="66" t="n"/>
      <c r="D44" s="66" t="n"/>
      <c r="E44" s="66" t="n"/>
    </row>
    <row r="45" ht="16.5" customHeight="1" s="35">
      <c r="A45" s="75" t="inlineStr">
        <is>
          <t>점검주기(Q): 카메라/렌즈 12개월, 조명 6개월, 삼각대 6개월, 케이블/액세서리 24개월</t>
        </is>
      </c>
      <c r="B45" s="66" t="n"/>
      <c r="C45" s="66" t="n"/>
      <c r="D45" s="66" t="n"/>
      <c r="E45" s="66" t="n"/>
    </row>
    <row r="46" ht="16.5" customHeight="1" s="35">
      <c r="A46" s="75" t="inlineStr">
        <is>
          <t>다음 점검일(R): 자동 계산 (P + Q개월)</t>
        </is>
      </c>
      <c r="B46" s="66" t="n"/>
      <c r="C46" s="66" t="n"/>
      <c r="D46" s="66" t="n"/>
      <c r="E46" s="66" t="n"/>
    </row>
    <row r="47" ht="14.25" customHeight="1" s="35">
      <c r="A47" s="72" t="n"/>
      <c r="B47" s="66" t="n"/>
      <c r="C47" s="66" t="n"/>
      <c r="D47" s="66" t="n"/>
      <c r="E47" s="66" t="n"/>
    </row>
    <row r="48" ht="18.75" customHeight="1" s="35">
      <c r="A48" s="73" t="inlineStr">
        <is>
          <t>■ 색상 자동 표시</t>
        </is>
      </c>
      <c r="B48" s="66" t="n"/>
      <c r="C48" s="66" t="n"/>
      <c r="D48" s="66" t="n"/>
      <c r="E48" s="66" t="n"/>
    </row>
    <row r="49" ht="16.5" customHeight="1" s="35">
      <c r="A49" s="75" t="inlineStr">
        <is>
          <t>다음 점검일(R) 오늘 이전 → 빨강 (지연), 30일 이내 → 노랑 (임박)</t>
        </is>
      </c>
      <c r="B49" s="66" t="n"/>
      <c r="C49" s="66" t="n"/>
      <c r="D49" s="66" t="n"/>
      <c r="E49" s="66" t="n"/>
    </row>
    <row r="50" ht="16.5" customHeight="1" s="35">
      <c r="A50" s="75" t="inlineStr">
        <is>
          <t>상태(K) 수리중 → 빨강 / 수리필요 → 주황 / 대여중 → 파랑 / 점검필요 → 노랑 / 폐기 → 회색</t>
        </is>
      </c>
      <c r="B50" s="66" t="n"/>
      <c r="C50" s="66" t="n"/>
      <c r="D50" s="66" t="n"/>
      <c r="E50" s="66" t="n"/>
    </row>
    <row r="51" ht="14.25" customHeight="1" s="35">
      <c r="A51" s="72" t="n"/>
      <c r="B51" s="66" t="n"/>
      <c r="C51" s="66" t="n"/>
      <c r="D51" s="66" t="n"/>
      <c r="E51" s="66" t="n"/>
    </row>
    <row r="52" ht="18" customHeight="1" s="35">
      <c r="A52" s="76" t="inlineStr">
        <is>
          <t>■ Google Sheets 업로드 방법</t>
        </is>
      </c>
      <c r="B52" s="66" t="n"/>
      <c r="C52" s="66" t="n"/>
      <c r="D52" s="66" t="n"/>
      <c r="E52" s="66" t="n"/>
    </row>
    <row r="53" ht="16.5" customHeight="1" s="35">
      <c r="A53" s="74" t="inlineStr">
        <is>
          <t>1. Google Drive 열기 → 새로 만들기 → 파일 업로드 → 이 xlsx 선택</t>
        </is>
      </c>
      <c r="B53" s="66" t="n"/>
      <c r="C53" s="66" t="n"/>
      <c r="D53" s="66" t="n"/>
      <c r="E53" s="66" t="n"/>
    </row>
    <row r="54" ht="16.5" customHeight="1" s="35">
      <c r="A54" s="74" t="inlineStr">
        <is>
          <t>2. 업로드된 파일 우클릭 → 연결 앱 → Google Sheets로 열기</t>
        </is>
      </c>
      <c r="B54" s="66" t="n"/>
      <c r="C54" s="66" t="n"/>
      <c r="D54" s="66" t="n"/>
      <c r="E54" s="66" t="n"/>
    </row>
    <row r="55" ht="16.5" customHeight="1" s="35">
      <c r="A55" s="74" t="inlineStr">
        <is>
          <t>- 드롭다운/조건부서식/EDATE/IMAGE 수식 모두 그대로 동작</t>
        </is>
      </c>
      <c r="B55" s="66" t="n"/>
      <c r="C55" s="66" t="n"/>
      <c r="D55" s="66" t="n"/>
      <c r="E55" s="66" t="n"/>
    </row>
  </sheetData>
  <printOptions horizontalCentered="0" verticalCentered="0" headings="0" gridLines="0" gridLinesSet="1"/>
  <pageMargins left="0.75" right="0.75" top="1" bottom="1" header="0.511811023622047" footer="0.511805555555556"/>
  <pageSetup orientation="portrait" paperSize="1" scale="100" fitToHeight="1" fitToWidth="1" pageOrder="downThenOver" blackAndWhite="0" draft="0" horizontalDpi="300" verticalDpi="300" copies="1"/>
  <headerFooter differentOddEven="0" differentFirst="0"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2026-07-22T08:33:06Z</dcterms:created>
  <dcterms:modified xmlns:dcterms="http://purl.org/dc/terms/" xmlns:xsi="http://www.w3.org/2001/XMLSchema-instance" xsi:type="dcterms:W3CDTF">2026-08-03T07:39:25Z</dcterms:modified>
  <cp:revision>0</cp:revision>
</cp:coreProperties>
</file>